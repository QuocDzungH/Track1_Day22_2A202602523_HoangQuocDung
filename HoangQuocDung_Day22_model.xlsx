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dungh\Downloads\code vin_uni\Track1_Day22_2A202602523_HoangQuocDung\"/>
    </mc:Choice>
  </mc:AlternateContent>
  <xr:revisionPtr revIDLastSave="0" documentId="13_ncr:1_{6D275809-CC80-4758-8E7A-AA29E7350B51}" xr6:coauthVersionLast="47" xr6:coauthVersionMax="47" xr10:uidLastSave="{00000000-0000-0000-0000-000000000000}"/>
  <bookViews>
    <workbookView xWindow="600" yWindow="-120" windowWidth="28320" windowHeight="16440" xr2:uid="{00000000-000D-0000-FFFF-FFFF00000000}"/>
  </bookViews>
  <sheets>
    <sheet name="0_README" sheetId="1" r:id="rId1"/>
    <sheet name="1_Cost_Job" sheetId="2" r:id="rId2"/>
    <sheet name="2_Pricing" sheetId="3" r:id="rId3"/>
    <sheet name="3_Value_Metric" sheetId="4" r:id="rId4"/>
    <sheet name="4_Channel_Fit" sheetId="5" r:id="rId5"/>
    <sheet name="5_90Day_Plan" sheetId="6" r:id="rId6"/>
    <sheet name="6_Benchmarks" sheetId="7" r:id="rId7"/>
    <sheet name="7_Assumptions" sheetId="8" r:id="rId8"/>
    <sheet name="8_Stress_Test" sheetId="9" r:id="rId9"/>
    <sheet name="9_OnePager_Trace" sheetId="10" r:id="rId10"/>
  </sheets>
  <definedNames>
    <definedName name="_xlnm._FilterDatabase" localSheetId="7" hidden="1">'7_Assumptions'!$A$4:$C$64</definedName>
    <definedName name="_xlnm._FilterDatabase" localSheetId="8" hidden="1">'8_Stress_Test'!$A$4:$P$16</definedName>
    <definedName name="_xlnm.Print_Titles" localSheetId="0">'0_README'!$1:$2</definedName>
    <definedName name="_xlnm.Print_Titles" localSheetId="1">'1_Cost_Job'!$1:$2</definedName>
    <definedName name="_xlnm.Print_Titles" localSheetId="2">'2_Pricing'!$1:$2</definedName>
    <definedName name="_xlnm.Print_Titles" localSheetId="3">'3_Value_Metric'!$1:$2</definedName>
    <definedName name="_xlnm.Print_Titles" localSheetId="4">'4_Channel_Fit'!$1:$2</definedName>
    <definedName name="_xlnm.Print_Titles" localSheetId="5">'5_90Day_Plan'!$1:$2</definedName>
    <definedName name="_xlnm.Print_Titles" localSheetId="6">'6_Benchmarks'!$1:$2</definedName>
    <definedName name="_xlnm.Print_Titles" localSheetId="7">'7_Assumptions'!$1:$2</definedName>
    <definedName name="_xlnm.Print_Titles" localSheetId="8">'8_Stress_Test'!$1:$2</definedName>
    <definedName name="_xlnm.Print_Titles" localSheetId="9">'9_OnePager_Trace'!$1:$2</definedName>
    <definedName name="_xlnm.Print_Area" localSheetId="0">'0_README'!$A$1:$H$37</definedName>
    <definedName name="_xlnm.Print_Area" localSheetId="1">'1_Cost_Job'!$A$1:$H$78</definedName>
    <definedName name="_xlnm.Print_Area" localSheetId="2">'2_Pricing'!$A$1:$H$65</definedName>
    <definedName name="_xlnm.Print_Area" localSheetId="3">'3_Value_Metric'!$A$1:$H$37</definedName>
    <definedName name="_xlnm.Print_Area" localSheetId="4">'4_Channel_Fit'!$A$1:$H$51</definedName>
    <definedName name="_xlnm.Print_Area" localSheetId="5">'5_90Day_Plan'!$A$1:$H$35</definedName>
    <definedName name="_xlnm.Print_Area" localSheetId="6">'6_Benchmarks'!$A$1:$H$43</definedName>
    <definedName name="_xlnm.Print_Area" localSheetId="7">'7_Assumptions'!$A$1:$C$64</definedName>
    <definedName name="_xlnm.Print_Area" localSheetId="8">'8_Stress_Test'!$A$1:$P$28</definedName>
    <definedName name="_xlnm.Print_Area" localSheetId="9">'9_OnePager_Trace'!$A$1:$C$43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40" i="10" l="1"/>
  <c r="B37" i="10"/>
  <c r="B36" i="10"/>
  <c r="B35" i="10"/>
  <c r="B34" i="10"/>
  <c r="B33" i="10"/>
  <c r="B32" i="10"/>
  <c r="B31" i="10"/>
  <c r="B30" i="10"/>
  <c r="B29" i="10"/>
  <c r="B22" i="10"/>
  <c r="B21" i="10"/>
  <c r="B20" i="10"/>
  <c r="B8" i="10"/>
  <c r="I16" i="9"/>
  <c r="J16" i="9" s="1"/>
  <c r="J15" i="9"/>
  <c r="I15" i="9"/>
  <c r="I14" i="9"/>
  <c r="J14" i="9" s="1"/>
  <c r="I13" i="9"/>
  <c r="J13" i="9" s="1"/>
  <c r="I12" i="9"/>
  <c r="J12" i="9" s="1"/>
  <c r="I11" i="9"/>
  <c r="J11" i="9" s="1"/>
  <c r="I10" i="9"/>
  <c r="J10" i="9" s="1"/>
  <c r="I9" i="9"/>
  <c r="J9" i="9" s="1"/>
  <c r="I8" i="9"/>
  <c r="J8" i="9" s="1"/>
  <c r="I7" i="9"/>
  <c r="J7" i="9" s="1"/>
  <c r="I6" i="9"/>
  <c r="J6" i="9" s="1"/>
  <c r="I5" i="9"/>
  <c r="J5" i="9" s="1"/>
  <c r="B41" i="8"/>
  <c r="B45" i="5" s="1"/>
  <c r="B37" i="8"/>
  <c r="B21" i="8"/>
  <c r="B28" i="10" s="1"/>
  <c r="B34" i="6"/>
  <c r="D34" i="5"/>
  <c r="C34" i="5"/>
  <c r="B34" i="5"/>
  <c r="B21" i="5"/>
  <c r="B20" i="5"/>
  <c r="B14" i="5"/>
  <c r="B13" i="5"/>
  <c r="B8" i="5"/>
  <c r="B18" i="4"/>
  <c r="B25" i="10" s="1"/>
  <c r="B10" i="4"/>
  <c r="B21" i="4" s="1"/>
  <c r="B57" i="3"/>
  <c r="B56" i="3"/>
  <c r="B34" i="3"/>
  <c r="B31" i="3"/>
  <c r="B14" i="3"/>
  <c r="B68" i="2"/>
  <c r="B59" i="2"/>
  <c r="B77" i="2" s="1"/>
  <c r="B57" i="2"/>
  <c r="B55" i="2"/>
  <c r="B52" i="2"/>
  <c r="B51" i="2"/>
  <c r="B50" i="2"/>
  <c r="B46" i="2"/>
  <c r="B41" i="2"/>
  <c r="B43" i="2" s="1"/>
  <c r="B74" i="2" s="1"/>
  <c r="B38" i="2"/>
  <c r="B73" i="2" s="1"/>
  <c r="B23" i="2"/>
  <c r="B22" i="2"/>
  <c r="B21" i="2"/>
  <c r="B19" i="2"/>
  <c r="B18" i="2"/>
  <c r="B16" i="2"/>
  <c r="B15" i="2"/>
  <c r="B10" i="2"/>
  <c r="B11" i="2" s="1"/>
  <c r="B9" i="2"/>
  <c r="B24" i="10" l="1"/>
  <c r="B22" i="5"/>
  <c r="B54" i="2"/>
  <c r="B56" i="2" s="1"/>
  <c r="B35" i="5"/>
  <c r="B25" i="2"/>
  <c r="B30" i="3"/>
  <c r="O5" i="9"/>
  <c r="O6" i="9"/>
  <c r="O7" i="9"/>
  <c r="O8" i="9"/>
  <c r="O9" i="9"/>
  <c r="B63" i="2"/>
  <c r="B76" i="2"/>
  <c r="O10" i="9"/>
  <c r="B12" i="10"/>
  <c r="B48" i="5"/>
  <c r="O12" i="9"/>
  <c r="O13" i="9"/>
  <c r="O14" i="9"/>
  <c r="B22" i="8"/>
  <c r="B23" i="10"/>
  <c r="B12" i="2"/>
  <c r="B25" i="9"/>
  <c r="B26" i="9" s="1"/>
  <c r="B11" i="3"/>
  <c r="B58" i="3" s="1"/>
  <c r="O16" i="9"/>
  <c r="B42" i="8"/>
  <c r="B46" i="5" s="1"/>
  <c r="B24" i="2"/>
  <c r="B27" i="2" s="1"/>
  <c r="B31" i="2" s="1"/>
  <c r="O15" i="9"/>
  <c r="B26" i="2"/>
  <c r="B28" i="2" s="1"/>
  <c r="B64" i="2"/>
  <c r="O11" i="9"/>
  <c r="B29" i="2" l="1"/>
  <c r="B72" i="2"/>
  <c r="B47" i="2"/>
  <c r="B75" i="2" s="1"/>
  <c r="K10" i="9"/>
  <c r="B62" i="2"/>
  <c r="K14" i="9"/>
  <c r="K8" i="9"/>
  <c r="K12" i="9"/>
  <c r="K6" i="9"/>
  <c r="K16" i="9"/>
  <c r="B29" i="3"/>
  <c r="K15" i="9"/>
  <c r="K13" i="9"/>
  <c r="K11" i="9"/>
  <c r="K9" i="9"/>
  <c r="K7" i="9"/>
  <c r="K5" i="9"/>
  <c r="B10" i="3"/>
  <c r="B13" i="3" s="1"/>
  <c r="B17" i="10"/>
  <c r="B62" i="3"/>
  <c r="B14" i="10"/>
  <c r="B16" i="3"/>
  <c r="B15" i="3"/>
  <c r="B19" i="3"/>
  <c r="B22" i="9"/>
  <c r="B63" i="3"/>
  <c r="B24" i="9"/>
  <c r="B23" i="9"/>
  <c r="B18" i="10" s="1"/>
  <c r="B5" i="5"/>
  <c r="B10" i="5" l="1"/>
  <c r="B15" i="5" s="1"/>
  <c r="B16" i="5" s="1"/>
  <c r="B9" i="10"/>
  <c r="N5" i="9"/>
  <c r="M5" i="9"/>
  <c r="L5" i="9"/>
  <c r="P5" i="9"/>
  <c r="N7" i="9"/>
  <c r="M7" i="9"/>
  <c r="L7" i="9"/>
  <c r="P7" i="9"/>
  <c r="N9" i="9"/>
  <c r="M9" i="9"/>
  <c r="L9" i="9"/>
  <c r="P9" i="9"/>
  <c r="N11" i="9"/>
  <c r="M11" i="9"/>
  <c r="L11" i="9"/>
  <c r="P11" i="9"/>
  <c r="N13" i="9"/>
  <c r="M13" i="9"/>
  <c r="L13" i="9"/>
  <c r="P13" i="9"/>
  <c r="L15" i="9"/>
  <c r="P15" i="9"/>
  <c r="B12" i="3"/>
  <c r="B42" i="3"/>
  <c r="C42" i="3" s="1"/>
  <c r="D42" i="3" s="1"/>
  <c r="B40" i="3"/>
  <c r="C40" i="3" s="1"/>
  <c r="D40" i="3" s="1"/>
  <c r="B65" i="3"/>
  <c r="B21" i="9" s="1"/>
  <c r="B33" i="3"/>
  <c r="B41" i="3"/>
  <c r="C41" i="3" s="1"/>
  <c r="D41" i="3" s="1"/>
  <c r="B44" i="3"/>
  <c r="C44" i="3" s="1"/>
  <c r="D44" i="3" s="1"/>
  <c r="B43" i="3"/>
  <c r="C43" i="3" s="1"/>
  <c r="D43" i="3" s="1"/>
  <c r="B64" i="3"/>
  <c r="B20" i="9" s="1"/>
  <c r="B39" i="3"/>
  <c r="C39" i="3" s="1"/>
  <c r="D39" i="3" s="1"/>
  <c r="B5" i="10"/>
  <c r="B51" i="3"/>
  <c r="L16" i="9"/>
  <c r="N16" i="9"/>
  <c r="M16" i="9"/>
  <c r="P16" i="9"/>
  <c r="M6" i="9"/>
  <c r="N6" i="9"/>
  <c r="L6" i="9"/>
  <c r="P6" i="9"/>
  <c r="N12" i="9"/>
  <c r="M12" i="9"/>
  <c r="L12" i="9"/>
  <c r="P12" i="9"/>
  <c r="N8" i="9"/>
  <c r="M8" i="9"/>
  <c r="L8" i="9"/>
  <c r="P8" i="9"/>
  <c r="N14" i="9"/>
  <c r="M14" i="9"/>
  <c r="L14" i="9"/>
  <c r="P14" i="9"/>
  <c r="B65" i="2"/>
  <c r="B59" i="3"/>
  <c r="B60" i="3" s="1"/>
  <c r="B66" i="2"/>
  <c r="N10" i="9"/>
  <c r="M10" i="9"/>
  <c r="L10" i="9"/>
  <c r="P10" i="9"/>
  <c r="C77" i="2" l="1"/>
  <c r="C72" i="2"/>
  <c r="C76" i="2"/>
  <c r="C74" i="2"/>
  <c r="C75" i="2"/>
  <c r="B61" i="3"/>
  <c r="B16" i="10" s="1"/>
  <c r="C73" i="2"/>
  <c r="B67" i="2"/>
  <c r="B19" i="9"/>
  <c r="B53" i="3"/>
  <c r="B7" i="10"/>
  <c r="B35" i="3"/>
  <c r="B3" i="10"/>
  <c r="B5" i="3"/>
  <c r="B69" i="2"/>
  <c r="B17" i="5"/>
  <c r="B11" i="10"/>
  <c r="B49" i="3" l="1"/>
  <c r="B7" i="3"/>
  <c r="B20" i="3"/>
  <c r="B22" i="3" s="1"/>
  <c r="B21" i="3"/>
  <c r="B24" i="3" l="1"/>
  <c r="B23" i="3"/>
  <c r="B52" i="3"/>
  <c r="B6" i="5"/>
  <c r="B6" i="10"/>
  <c r="B4" i="10"/>
  <c r="B50" i="3"/>
  <c r="B25" i="3"/>
  <c r="B9" i="5" l="1"/>
  <c r="B49" i="5"/>
  <c r="B42" i="10" s="1"/>
  <c r="B23" i="5" l="1"/>
  <c r="B10" i="10"/>
  <c r="B47" i="5"/>
  <c r="B15" i="10" s="1"/>
  <c r="B13" i="10" l="1"/>
  <c r="B24" i="5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Day22 - nguồn / giả định</author>
  </authors>
  <commentList>
    <comment ref="B5" authorId="0" shapeId="0" xr:uid="{00000000-0006-0000-0100-000001000000}">
      <text>
        <r>
          <rPr>
            <sz val="11"/>
            <color theme="1"/>
            <rFont val="Calibri"/>
            <scheme val="minor"/>
          </rPr>
          <t>Giả định hoặc nguồn: xem 7_Assumptions. Chưa có usage thực đo.</t>
        </r>
      </text>
    </comment>
    <comment ref="B6" authorId="0" shapeId="0" xr:uid="{00000000-0006-0000-0100-000002000000}">
      <text>
        <r>
          <rPr>
            <sz val="11"/>
            <color theme="1"/>
            <rFont val="Calibri"/>
            <scheme val="minor"/>
          </rPr>
          <t>Giả định hoặc nguồn: xem 7_Assumptions. Chưa có usage thực đo.</t>
        </r>
      </text>
    </comment>
    <comment ref="B9" authorId="0" shapeId="0" xr:uid="{00000000-0006-0000-0100-000003000000}">
      <text>
        <r>
          <rPr>
            <sz val="11"/>
            <color theme="1"/>
            <rFont val="Calibri"/>
            <scheme val="minor"/>
          </rPr>
          <t>Giả định hoặc nguồn: xem 7_Assumptions. Chưa có usage thực đo.</t>
        </r>
      </text>
    </comment>
    <comment ref="B10" authorId="0" shapeId="0" xr:uid="{00000000-0006-0000-0100-000004000000}">
      <text>
        <r>
          <rPr>
            <sz val="11"/>
            <color theme="1"/>
            <rFont val="Calibri"/>
            <scheme val="minor"/>
          </rPr>
          <t>Giả định hoặc nguồn: xem 7_Assumptions. Chưa có usage thực đo.</t>
        </r>
      </text>
    </comment>
    <comment ref="B15" authorId="0" shapeId="0" xr:uid="{00000000-0006-0000-0100-000005000000}">
      <text>
        <r>
          <rPr>
            <sz val="11"/>
            <color theme="1"/>
            <rFont val="Calibri"/>
            <scheme val="minor"/>
          </rPr>
          <t>Giả định hoặc nguồn: xem 7_Assumptions. Chưa có usage thực đo.</t>
        </r>
      </text>
    </comment>
    <comment ref="B16" authorId="0" shapeId="0" xr:uid="{00000000-0006-0000-0100-000006000000}">
      <text>
        <r>
          <rPr>
            <sz val="11"/>
            <color theme="1"/>
            <rFont val="Calibri"/>
            <scheme val="minor"/>
          </rPr>
          <t>Giả định hoặc nguồn: xem 7_Assumptions. Chưa có usage thực đo.</t>
        </r>
      </text>
    </comment>
    <comment ref="B17" authorId="0" shapeId="0" xr:uid="{00000000-0006-0000-0100-000007000000}">
      <text>
        <r>
          <rPr>
            <sz val="11"/>
            <color theme="1"/>
            <rFont val="Calibri"/>
            <scheme val="minor"/>
          </rPr>
          <t>Không dùng giá cache write Anthropic cho OpenAI. B20=0 nên cache write không phát sinh; mọi input tính fresh, chưa chứng minh cache hit.</t>
        </r>
      </text>
    </comment>
    <comment ref="B18" authorId="0" shapeId="0" xr:uid="{00000000-0006-0000-0100-000008000000}">
      <text>
        <r>
          <rPr>
            <sz val="11"/>
            <color theme="1"/>
            <rFont val="Calibri"/>
            <scheme val="minor"/>
          </rPr>
          <t>Giả định hoặc nguồn: xem 7_Assumptions. Chưa có usage thực đo.</t>
        </r>
      </text>
    </comment>
    <comment ref="B19" authorId="0" shapeId="0" xr:uid="{00000000-0006-0000-0100-000009000000}">
      <text>
        <r>
          <rPr>
            <sz val="11"/>
            <color theme="1"/>
            <rFont val="Calibri"/>
            <scheme val="minor"/>
          </rPr>
          <t>Giả định hoặc nguồn: xem 7_Assumptions. Chưa có usage thực đo.</t>
        </r>
      </text>
    </comment>
    <comment ref="B20" authorId="0" shapeId="0" xr:uid="{00000000-0006-0000-0100-00000A000000}">
      <text>
        <r>
          <rPr>
            <sz val="11"/>
            <color theme="1"/>
            <rFont val="Calibri"/>
            <scheme val="minor"/>
          </rPr>
          <t>Không giả định tiết kiệm caching khi chưa có log. Giá cached input chỉ để tham khảo.</t>
        </r>
      </text>
    </comment>
    <comment ref="B21" authorId="0" shapeId="0" xr:uid="{00000000-0006-0000-0100-00000B000000}">
      <text>
        <r>
          <rPr>
            <sz val="11"/>
            <color theme="1"/>
            <rFont val="Calibri"/>
            <scheme val="minor"/>
          </rPr>
          <t>Giả định hoặc nguồn: xem 7_Assumptions. Chưa có usage thực đo.</t>
        </r>
      </text>
    </comment>
    <comment ref="B22" authorId="0" shapeId="0" xr:uid="{00000000-0006-0000-0100-00000C000000}">
      <text>
        <r>
          <rPr>
            <sz val="11"/>
            <color theme="1"/>
            <rFont val="Calibri"/>
            <scheme val="minor"/>
          </rPr>
          <t>Giả định hoặc nguồn: xem 7_Assumptions. Chưa có usage thực đo.</t>
        </r>
      </text>
    </comment>
    <comment ref="B30" authorId="0" shapeId="0" xr:uid="{00000000-0006-0000-0100-00000D000000}">
      <text>
        <r>
          <rPr>
            <sz val="11"/>
            <color theme="1"/>
            <rFont val="Calibri"/>
            <scheme val="minor"/>
          </rPr>
          <t>Giả định hoặc nguồn: xem 7_Assumptions. Chưa có usage thực đo.</t>
        </r>
      </text>
    </comment>
    <comment ref="B34" authorId="0" shapeId="0" xr:uid="{00000000-0006-0000-0100-00000E000000}">
      <text>
        <r>
          <rPr>
            <sz val="11"/>
            <color theme="1"/>
            <rFont val="Calibri"/>
            <scheme val="minor"/>
          </rPr>
          <t>Phạm vi text-only; không STT, TTS hoặc telephony.</t>
        </r>
      </text>
    </comment>
    <comment ref="B35" authorId="0" shapeId="0" xr:uid="{00000000-0006-0000-0100-00000F000000}">
      <text>
        <r>
          <rPr>
            <sz val="11"/>
            <color theme="1"/>
            <rFont val="Calibri"/>
            <scheme val="minor"/>
          </rPr>
          <t>Phạm vi text-only; không STT, TTS hoặc telephony.</t>
        </r>
      </text>
    </comment>
    <comment ref="B36" authorId="0" shapeId="0" xr:uid="{00000000-0006-0000-0100-000010000000}">
      <text>
        <r>
          <rPr>
            <sz val="11"/>
            <color theme="1"/>
            <rFont val="Calibri"/>
            <scheme val="minor"/>
          </rPr>
          <t>Phạm vi text-only; không STT, TTS hoặc telephony.</t>
        </r>
      </text>
    </comment>
    <comment ref="B37" authorId="0" shapeId="0" xr:uid="{00000000-0006-0000-0100-000011000000}">
      <text>
        <r>
          <rPr>
            <sz val="11"/>
            <color theme="1"/>
            <rFont val="Calibri"/>
            <scheme val="minor"/>
          </rPr>
          <t>Phạm vi text-only; không STT, TTS hoặc telephony.</t>
        </r>
      </text>
    </comment>
    <comment ref="B41" authorId="0" shapeId="0" xr:uid="{00000000-0006-0000-0100-000012000000}">
      <text>
        <r>
          <rPr>
            <sz val="11"/>
            <color theme="1"/>
            <rFont val="Calibri"/>
            <scheme val="minor"/>
          </rPr>
          <t>Giả định hoặc nguồn: xem 7_Assumptions. Chưa có usage thực đo.</t>
        </r>
      </text>
    </comment>
    <comment ref="B42" authorId="0" shapeId="0" xr:uid="{00000000-0006-0000-0100-000013000000}">
      <text>
        <r>
          <rPr>
            <sz val="11"/>
            <color theme="1"/>
            <rFont val="Calibri"/>
            <scheme val="minor"/>
          </rPr>
          <t>Phạm vi text-only; không STT, TTS hoặc telephony.</t>
        </r>
      </text>
    </comment>
    <comment ref="B46" authorId="0" shapeId="0" xr:uid="{00000000-0006-0000-0100-000014000000}">
      <text>
        <r>
          <rPr>
            <sz val="11"/>
            <color theme="1"/>
            <rFont val="Calibri"/>
            <scheme val="minor"/>
          </rPr>
          <t>Giả định hoặc nguồn: xem 7_Assumptions. Chưa có usage thực đo.</t>
        </r>
      </text>
    </comment>
    <comment ref="B50" authorId="0" shapeId="0" xr:uid="{00000000-0006-0000-0100-000015000000}">
      <text>
        <r>
          <rPr>
            <sz val="11"/>
            <color theme="1"/>
            <rFont val="Calibri"/>
            <scheme val="minor"/>
          </rPr>
          <t>Giả định hoặc nguồn: xem 7_Assumptions. Chưa có usage thực đo.</t>
        </r>
      </text>
    </comment>
    <comment ref="B51" authorId="0" shapeId="0" xr:uid="{00000000-0006-0000-0100-000016000000}">
      <text>
        <r>
          <rPr>
            <sz val="11"/>
            <color theme="1"/>
            <rFont val="Calibri"/>
            <scheme val="minor"/>
          </rPr>
          <t>Giả định hoặc nguồn: xem 7_Assumptions. Chưa có usage thực đo.</t>
        </r>
      </text>
    </comment>
    <comment ref="B52" authorId="0" shapeId="0" xr:uid="{00000000-0006-0000-0100-000017000000}">
      <text>
        <r>
          <rPr>
            <sz val="11"/>
            <color theme="1"/>
            <rFont val="Calibri"/>
            <scheme val="minor"/>
          </rPr>
          <t>Giả định hoặc nguồn: xem 7_Assumptions. Chưa có usage thực đo.</t>
        </r>
      </text>
    </comment>
    <comment ref="B53" authorId="0" shapeId="0" xr:uid="{00000000-0006-0000-0100-000018000000}">
      <text>
        <r>
          <rPr>
            <sz val="11"/>
            <color theme="1"/>
            <rFont val="Calibri"/>
            <scheme val="minor"/>
          </rPr>
          <t>Biến thể A: ca không đạt do cán bộ trường xử lý; không nhà cung cấp sửa hồ sơ miễn phí. Không gồm nhân công quyết định nghiệp vụ của trường trong COGS.</t>
        </r>
      </text>
    </comment>
    <comment ref="B56" authorId="0" shapeId="0" xr:uid="{00000000-0006-0000-0100-000019000000}">
      <text>
        <r>
          <rPr>
            <sz val="11"/>
            <color theme="1"/>
            <rFont val="Calibri"/>
            <scheme val="minor"/>
          </rPr>
          <t>Điều chỉnh template: QA + escalation A/B + hỗ trợ kỹ thuật cố định.</t>
        </r>
      </text>
    </comment>
    <comment ref="B59" authorId="0" shapeId="0" xr:uid="{00000000-0006-0000-0100-00001A000000}">
      <text>
        <r>
          <rPr>
            <sz val="11"/>
            <color theme="1"/>
            <rFont val="Calibri"/>
            <scheme val="minor"/>
          </rPr>
          <t>Giả định hoặc nguồn: xem 7_Assumptions. Chưa có usage thực đo.</t>
        </r>
      </text>
    </comment>
    <comment ref="B68" authorId="0" shapeId="0" xr:uid="{00000000-0006-0000-0100-00001B000000}">
      <text>
        <r>
          <rPr>
            <sz val="11"/>
            <color theme="1"/>
            <rFont val="Calibri"/>
            <scheme val="minor"/>
          </rPr>
          <t>Giả định hoặc nguồn: xem 7_Assumptions. Chưa có usage thực đo.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Day22 - nguồn / giả định</author>
  </authors>
  <commentList>
    <comment ref="B33" authorId="0" shapeId="0" xr:uid="{00000000-0006-0000-0200-000001000000}">
      <text>
        <r>
          <rPr>
            <sz val="11"/>
            <color theme="1"/>
            <rFont val="Calibri"/>
            <scheme val="minor"/>
          </rPr>
          <t>Hybrid Rmin = [N(v+q+e)+support−(1−GM)F] / [N((1−GM)u+e)]. Không giữ giá hiệu dụng cố định khi R đổi.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Day22 - nguồn / giả định</author>
  </authors>
  <commentList>
    <comment ref="B5" authorId="0" shapeId="0" xr:uid="{00000000-0006-0000-0300-000001000000}">
      <text>
        <r>
          <rPr>
            <sz val="11"/>
            <color theme="1"/>
            <rFont val="Calibri"/>
            <scheme val="minor"/>
          </rPr>
          <t>Chấm thực trạng: 1 = thiết kế/demo một phần; 0 = chưa có bằng chứng; không tự chấm 2 khi chưa chạy AI thật.</t>
        </r>
      </text>
    </comment>
    <comment ref="B6" authorId="0" shapeId="0" xr:uid="{00000000-0006-0000-0300-000002000000}">
      <text>
        <r>
          <rPr>
            <sz val="11"/>
            <color theme="1"/>
            <rFont val="Calibri"/>
            <scheme val="minor"/>
          </rPr>
          <t>Chấm thực trạng: 1 = thiết kế/demo một phần; 0 = chưa có bằng chứng; không tự chấm 2 khi chưa chạy AI thật.</t>
        </r>
      </text>
    </comment>
    <comment ref="B7" authorId="0" shapeId="0" xr:uid="{00000000-0006-0000-0300-000003000000}">
      <text>
        <r>
          <rPr>
            <sz val="11"/>
            <color theme="1"/>
            <rFont val="Calibri"/>
            <scheme val="minor"/>
          </rPr>
          <t>Chấm thực trạng: 1 = thiết kế/demo một phần; 0 = chưa có bằng chứng; không tự chấm 2 khi chưa chạy AI thật.</t>
        </r>
      </text>
    </comment>
    <comment ref="B8" authorId="0" shapeId="0" xr:uid="{00000000-0006-0000-0300-000004000000}">
      <text>
        <r>
          <rPr>
            <sz val="11"/>
            <color theme="1"/>
            <rFont val="Calibri"/>
            <scheme val="minor"/>
          </rPr>
          <t>Chấm thực trạng: 1 = thiết kế/demo một phần; 0 = chưa có bằng chứng; không tự chấm 2 khi chưa chạy AI thật.</t>
        </r>
      </text>
    </comment>
    <comment ref="B9" authorId="0" shapeId="0" xr:uid="{00000000-0006-0000-0300-000005000000}">
      <text>
        <r>
          <rPr>
            <sz val="11"/>
            <color theme="1"/>
            <rFont val="Calibri"/>
            <scheme val="minor"/>
          </rPr>
          <t>Chấm thực trạng: 1 = thiết kế/demo một phần; 0 = chưa có bằng chứng; không tự chấm 2 khi chưa chạy AI thật.</t>
        </r>
      </text>
    </comment>
    <comment ref="B13" authorId="0" shapeId="0" xr:uid="{00000000-0006-0000-0300-000006000000}">
      <text>
        <r>
          <rPr>
            <sz val="11"/>
            <color theme="1"/>
            <rFont val="Calibri"/>
            <scheme val="minor"/>
          </rPr>
          <t>Chấm thực trạng: 1 = thiết kế/demo một phần; 0 = chưa có bằng chứng; không tự chấm 2 khi chưa chạy AI thật.</t>
        </r>
      </text>
    </comment>
    <comment ref="B14" authorId="0" shapeId="0" xr:uid="{00000000-0006-0000-0300-000007000000}">
      <text>
        <r>
          <rPr>
            <sz val="11"/>
            <color theme="1"/>
            <rFont val="Calibri"/>
            <scheme val="minor"/>
          </rPr>
          <t>Chấm thực trạng: 1 = thiết kế/demo một phần; 0 = chưa có bằng chứng; không tự chấm 2 khi chưa chạy AI thật.</t>
        </r>
      </text>
    </comment>
    <comment ref="B15" authorId="0" shapeId="0" xr:uid="{00000000-0006-0000-0300-000008000000}">
      <text>
        <r>
          <rPr>
            <sz val="11"/>
            <color theme="1"/>
            <rFont val="Calibri"/>
            <scheme val="minor"/>
          </rPr>
          <t>Chấm thực trạng: 1 = thiết kế/demo một phần; 0 = chưa có bằng chứng; không tự chấm 2 khi chưa chạy AI thật.</t>
        </r>
      </text>
    </comment>
    <comment ref="B16" authorId="0" shapeId="0" xr:uid="{00000000-0006-0000-0300-000009000000}">
      <text>
        <r>
          <rPr>
            <sz val="11"/>
            <color theme="1"/>
            <rFont val="Calibri"/>
            <scheme val="minor"/>
          </rPr>
          <t>Chấm thực trạng: 1 = thiết kế/demo một phần; 0 = chưa có bằng chứng; không tự chấm 2 khi chưa chạy AI thật.</t>
        </r>
      </text>
    </comment>
    <comment ref="B17" authorId="0" shapeId="0" xr:uid="{00000000-0006-0000-0300-00000A000000}">
      <text>
        <r>
          <rPr>
            <sz val="11"/>
            <color theme="1"/>
            <rFont val="Calibri"/>
            <scheme val="minor"/>
          </rPr>
          <t>Chấm thực trạng: 1 = thiết kế/demo một phần; 0 = chưa có bằng chứng; không tự chấm 2 khi chưa chạy AI thật.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Day22 - nguồn / giả định</author>
  </authors>
  <commentList>
    <comment ref="B22" authorId="0" shapeId="0" xr:uid="{00000000-0006-0000-0400-000001000000}">
      <text>
        <r>
          <rPr>
            <sz val="11"/>
            <color theme="1"/>
            <rFont val="Calibri"/>
            <scheme val="minor"/>
          </rPr>
          <t>CAC acquisition + onboarding; founder có opportunity cost, không sales miễn phí.</t>
        </r>
      </text>
    </comment>
    <comment ref="B28" authorId="0" shapeId="0" xr:uid="{00000000-0006-0000-0400-000002000000}">
      <text>
        <r>
          <rPr>
            <sz val="11"/>
            <color theme="1"/>
            <rFont val="Calibri"/>
            <scheme val="minor"/>
          </rPr>
          <t>Điểm giả định khả năng tiếp cận; chưa có khách hoặc partner, không coi score là bằng chứng traction.</t>
        </r>
      </text>
    </comment>
    <comment ref="C28" authorId="0" shapeId="0" xr:uid="{00000000-0006-0000-0400-000003000000}">
      <text>
        <r>
          <rPr>
            <sz val="11"/>
            <color theme="1"/>
            <rFont val="Calibri"/>
            <scheme val="minor"/>
          </rPr>
          <t>Điểm giả định khả năng tiếp cận; chưa có khách hoặc partner, không coi score là bằng chứng traction.</t>
        </r>
      </text>
    </comment>
    <comment ref="D28" authorId="0" shapeId="0" xr:uid="{00000000-0006-0000-0400-000004000000}">
      <text>
        <r>
          <rPr>
            <sz val="11"/>
            <color theme="1"/>
            <rFont val="Calibri"/>
            <scheme val="minor"/>
          </rPr>
          <t>Điểm giả định khả năng tiếp cận; chưa có khách hoặc partner, không coi score là bằng chứng traction.</t>
        </r>
      </text>
    </comment>
    <comment ref="B29" authorId="0" shapeId="0" xr:uid="{00000000-0006-0000-0400-000005000000}">
      <text>
        <r>
          <rPr>
            <sz val="11"/>
            <color theme="1"/>
            <rFont val="Calibri"/>
            <scheme val="minor"/>
          </rPr>
          <t>Điểm giả định khả năng tiếp cận; chưa có khách hoặc partner, không coi score là bằng chứng traction.</t>
        </r>
      </text>
    </comment>
    <comment ref="C29" authorId="0" shapeId="0" xr:uid="{00000000-0006-0000-0400-000006000000}">
      <text>
        <r>
          <rPr>
            <sz val="11"/>
            <color theme="1"/>
            <rFont val="Calibri"/>
            <scheme val="minor"/>
          </rPr>
          <t>Điểm giả định khả năng tiếp cận; chưa có khách hoặc partner, không coi score là bằng chứng traction.</t>
        </r>
      </text>
    </comment>
    <comment ref="D29" authorId="0" shapeId="0" xr:uid="{00000000-0006-0000-0400-000007000000}">
      <text>
        <r>
          <rPr>
            <sz val="11"/>
            <color theme="1"/>
            <rFont val="Calibri"/>
            <scheme val="minor"/>
          </rPr>
          <t>Điểm giả định khả năng tiếp cận; chưa có khách hoặc partner, không coi score là bằng chứng traction.</t>
        </r>
      </text>
    </comment>
    <comment ref="B30" authorId="0" shapeId="0" xr:uid="{00000000-0006-0000-0400-000008000000}">
      <text>
        <r>
          <rPr>
            <sz val="11"/>
            <color theme="1"/>
            <rFont val="Calibri"/>
            <scheme val="minor"/>
          </rPr>
          <t>Điểm giả định khả năng tiếp cận; chưa có khách hoặc partner, không coi score là bằng chứng traction.</t>
        </r>
      </text>
    </comment>
    <comment ref="C30" authorId="0" shapeId="0" xr:uid="{00000000-0006-0000-0400-000009000000}">
      <text>
        <r>
          <rPr>
            <sz val="11"/>
            <color theme="1"/>
            <rFont val="Calibri"/>
            <scheme val="minor"/>
          </rPr>
          <t>Điểm giả định khả năng tiếp cận; chưa có khách hoặc partner, không coi score là bằng chứng traction.</t>
        </r>
      </text>
    </comment>
    <comment ref="D30" authorId="0" shapeId="0" xr:uid="{00000000-0006-0000-0400-00000A000000}">
      <text>
        <r>
          <rPr>
            <sz val="11"/>
            <color theme="1"/>
            <rFont val="Calibri"/>
            <scheme val="minor"/>
          </rPr>
          <t>Điểm giả định khả năng tiếp cận; chưa có khách hoặc partner, không coi score là bằng chứng traction.</t>
        </r>
      </text>
    </comment>
    <comment ref="B31" authorId="0" shapeId="0" xr:uid="{00000000-0006-0000-0400-00000B000000}">
      <text>
        <r>
          <rPr>
            <sz val="11"/>
            <color theme="1"/>
            <rFont val="Calibri"/>
            <scheme val="minor"/>
          </rPr>
          <t>Điểm giả định khả năng tiếp cận; chưa có khách hoặc partner, không coi score là bằng chứng traction.</t>
        </r>
      </text>
    </comment>
    <comment ref="C31" authorId="0" shapeId="0" xr:uid="{00000000-0006-0000-0400-00000C000000}">
      <text>
        <r>
          <rPr>
            <sz val="11"/>
            <color theme="1"/>
            <rFont val="Calibri"/>
            <scheme val="minor"/>
          </rPr>
          <t>Điểm giả định khả năng tiếp cận; chưa có khách hoặc partner, không coi score là bằng chứng traction.</t>
        </r>
      </text>
    </comment>
    <comment ref="D31" authorId="0" shapeId="0" xr:uid="{00000000-0006-0000-0400-00000D000000}">
      <text>
        <r>
          <rPr>
            <sz val="11"/>
            <color theme="1"/>
            <rFont val="Calibri"/>
            <scheme val="minor"/>
          </rPr>
          <t>Điểm giả định khả năng tiếp cận; chưa có khách hoặc partner, không coi score là bằng chứng traction.</t>
        </r>
      </text>
    </comment>
    <comment ref="B32" authorId="0" shapeId="0" xr:uid="{00000000-0006-0000-0400-00000E000000}">
      <text>
        <r>
          <rPr>
            <sz val="11"/>
            <color theme="1"/>
            <rFont val="Calibri"/>
            <scheme val="minor"/>
          </rPr>
          <t>Điểm giả định khả năng tiếp cận; chưa có khách hoặc partner, không coi score là bằng chứng traction.</t>
        </r>
      </text>
    </comment>
    <comment ref="C32" authorId="0" shapeId="0" xr:uid="{00000000-0006-0000-0400-00000F000000}">
      <text>
        <r>
          <rPr>
            <sz val="11"/>
            <color theme="1"/>
            <rFont val="Calibri"/>
            <scheme val="minor"/>
          </rPr>
          <t>Điểm giả định khả năng tiếp cận; chưa có khách hoặc partner, không coi score là bằng chứng traction.</t>
        </r>
      </text>
    </comment>
    <comment ref="D32" authorId="0" shapeId="0" xr:uid="{00000000-0006-0000-0400-000010000000}">
      <text>
        <r>
          <rPr>
            <sz val="11"/>
            <color theme="1"/>
            <rFont val="Calibri"/>
            <scheme val="minor"/>
          </rPr>
          <t>Điểm giả định khả năng tiếp cận; chưa có khách hoặc partner, không coi score là bằng chứng traction.</t>
        </r>
      </text>
    </comment>
    <comment ref="B33" authorId="0" shapeId="0" xr:uid="{00000000-0006-0000-0400-000011000000}">
      <text>
        <r>
          <rPr>
            <sz val="11"/>
            <color theme="1"/>
            <rFont val="Calibri"/>
            <scheme val="minor"/>
          </rPr>
          <t>Điểm giả định khả năng tiếp cận; chưa có khách hoặc partner, không coi score là bằng chứng traction.</t>
        </r>
      </text>
    </comment>
    <comment ref="C33" authorId="0" shapeId="0" xr:uid="{00000000-0006-0000-0400-000012000000}">
      <text>
        <r>
          <rPr>
            <sz val="11"/>
            <color theme="1"/>
            <rFont val="Calibri"/>
            <scheme val="minor"/>
          </rPr>
          <t>Điểm giả định khả năng tiếp cận; chưa có khách hoặc partner, không coi score là bằng chứng traction.</t>
        </r>
      </text>
    </comment>
    <comment ref="D33" authorId="0" shapeId="0" xr:uid="{00000000-0006-0000-0400-000013000000}">
      <text>
        <r>
          <rPr>
            <sz val="11"/>
            <color theme="1"/>
            <rFont val="Calibri"/>
            <scheme val="minor"/>
          </rPr>
          <t>Điểm giả định khả năng tiếp cận; chưa có khách hoặc partner, không coi score là bằng chứng traction.</t>
        </r>
      </text>
    </comment>
  </commentList>
</comments>
</file>

<file path=xl/sharedStrings.xml><?xml version="1.0" encoding="utf-8"?>
<sst xmlns="http://schemas.openxmlformats.org/spreadsheetml/2006/main" count="800" uniqueCount="737">
  <si>
    <t>DAY 22 — CAMPUS 24/7 MONETIZATION MODEL</t>
  </si>
  <si>
    <t>AI Pricing · GTM · Evidence — AI-IN-ACTION Track 1</t>
  </si>
  <si>
    <t>QUY ƯỚC MÀU — CHỈ ĐIỀN VÀO Ô MÀU VÀNG</t>
  </si>
  <si>
    <t>Ô VÀNG, chữ xanh dương</t>
  </si>
  <si>
    <t>Ô bạn phải điền</t>
  </si>
  <si>
    <t>Ô XÁM, chữ đen</t>
  </si>
  <si>
    <t>Công thức tự tính — KHÔNG SỬA</t>
  </si>
  <si>
    <t>Chữ xanh lá</t>
  </si>
  <si>
    <t>Link sang tab khác</t>
  </si>
  <si>
    <t>Ô XÁM đậm nhạt</t>
  </si>
  <si>
    <t>Bảng tham chiếu, chỉ đọc</t>
  </si>
  <si>
    <t>THỨ TỰ LÀM — 6 TRẠM, 120 PHÚT</t>
  </si>
  <si>
    <t>Trạm 1 · 15'</t>
  </si>
  <si>
    <t>Ngân sách khách &amp; định nghĩa Job → điền S1–S2 của tab 1_Cost_Job</t>
  </si>
  <si>
    <t>Trạm 2 · 20'</t>
  </si>
  <si>
    <t>Value Metric → tab 3_Value_Metric</t>
  </si>
  <si>
    <t>Trạm 3 · 30'</t>
  </si>
  <si>
    <t>Cost/Job, giá sàn &amp; giá trần → tab 1_Cost_Job (S3–S8) rồi 2_Pricing</t>
  </si>
  <si>
    <t>Trạm 4 · 20'</t>
  </si>
  <si>
    <t>Kênh phân phối &amp; Affordability Test → tab 4_Channel_Fit</t>
  </si>
  <si>
    <t>Trạm 5 · 15'</t>
  </si>
  <si>
    <t>Pain Moment &amp; 90-Day Plan → tab 5_90Day_Plan</t>
  </si>
  <si>
    <t>Trạm 6 · 20'</t>
  </si>
  <si>
    <t>Evidence Pack &amp; ráp One-Pager → tab 5_90Day_Plan + file .docx</t>
  </si>
  <si>
    <t>3 QUY TẮC KHÔNG ĐƯỢC PHÁ</t>
  </si>
  <si>
    <t>1. Chia cho số job HOÀN THÀNH, không phải số job đã thử.</t>
  </si>
  <si>
    <t>2. HITL và Retry không được để 0 nếu không có lý do viết ra được.</t>
  </si>
  <si>
    <t>3. Mọi con số giá API phải có NGÀY kiểm tra (xem tab 6_Benchmarks).</t>
  </si>
  <si>
    <t>Giá tham chiếu trong workbook này được chốt ngày 26/08/2026. Nhiều mức giá là KHUYẾN MẠI CÓ HẠN.</t>
  </si>
  <si>
    <t>Bạn PHẢI tự mở lại trang giá của nhà cung cấp và cập nhật — đây là một phần của bài tập.</t>
  </si>
  <si>
    <t>TRẠNG THÁI</t>
  </si>
  <si>
    <t>Bản mô hình giả định: đang deploy, chưa eval/pilot/khách trả tiền.</t>
  </si>
  <si>
    <t>Phạm vi job</t>
  </si>
  <si>
    <t>AI chuẩn bị hồ sơ đạt rubric; cán bộ trường vẫn kiểm tra và quyết định.</t>
  </si>
  <si>
    <t>Cách đọc</t>
  </si>
  <si>
    <t>5 tab làm bài giữ nguyên; tab 7 giải thích mọi input, tab 8 stress test, tab 9 truy vết One-Pager.</t>
  </si>
  <si>
    <t>HITL</t>
  </si>
  <si>
    <t>A: trường xử lý nghiệp vụ không đạt; vẫn có QA nội bộ và hỗ trợ kỹ thuật trong COGS.</t>
  </si>
  <si>
    <t>Công thức đã điều chỉnh</t>
  </si>
  <si>
    <t>B56 thêm hỗ trợ cố định; pricing B19/B33/sensitivity tính đúng Hybrid. Không thay toàn bộ template.</t>
  </si>
  <si>
    <t>Giá sàn &amp; GM</t>
  </si>
  <si>
    <t>So giá hiệu dụng gồm phân bổ phí nền với Cost/Job; usage 0,15 USD riêng không phải giá hiệu dụng 0,275 USD.</t>
  </si>
  <si>
    <t>Containment</t>
  </si>
  <si>
    <t>80% là giả định chất lượng hồ sơ chuẩn bị; KHÔNG phải AI tự giải quyết 80% ticket nghiệp vụ.</t>
  </si>
  <si>
    <t>Thuế/FX</t>
  </si>
  <si>
    <t>Tính USD trước thuế; VND chỉ tham khảo. Không thu tiền, liên hệ hay deploy trong bài này.</t>
  </si>
  <si>
    <t>Bản nháp cá nhân</t>
  </si>
  <si>
    <t>Hoàng Quốc Dũng cần đọc và diễn đạt quyết định bằng lời của mình; không tuyên bố đã chạy pilot hoặc test người lạ.</t>
  </si>
  <si>
    <t>Gate trước thu tiền</t>
  </si>
  <si>
    <t>QA 100% trước pilot; 5% QA chỉ là steady-state sau khi eval + pilot qua gate.</t>
  </si>
  <si>
    <t>Ngày kiểm tra giá</t>
  </si>
  <si>
    <t>08/10/2026</t>
  </si>
  <si>
    <t>Nguồn tỷ giá</t>
  </si>
  <si>
    <t>Vietcombank XML, bán USD 26.100 VND; timestamp nguồn 08/10/2026 17:06:38.</t>
  </si>
  <si>
    <t>TAB 1 — COST/JOB CALCULATOR</t>
  </si>
  <si>
    <t>Trạm 1 (S1–S2) và Trạm 3 (S3–S8). Chỉ điền ô vàng.</t>
  </si>
  <si>
    <t>S1. ĐỊNH NGHĨA JOB</t>
  </si>
  <si>
    <t>1 job của bạn là gì?</t>
  </si>
  <si>
    <t>1 hồ sơ AI chuẩn bị đạt rubric: đủ trường bắt buộc, checklist, draft có căn cứ, đúng quyền; không cần nhà cung cấp sửa tay. Cán bộ vẫn review.</t>
  </si>
  <si>
    <t>Phải là thứ KHÁCH coi là giá trị — không phải '1 request'</t>
  </si>
  <si>
    <t>Biến thể HITL: A hay B?</t>
  </si>
  <si>
    <t>A</t>
  </si>
  <si>
    <t>A = khách tự xử lý ca escalate · B = BẠN chịu (outcome/managed)</t>
  </si>
  <si>
    <t>S2. KHỐI LƯỢNG</t>
  </si>
  <si>
    <t>Số job THỬ / tháng</t>
  </si>
  <si>
    <t>job</t>
  </si>
  <si>
    <t>Tỷ lệ hồ sơ AI chuẩn bị đạt rubric — GIẢ ĐỊNH</t>
  </si>
  <si>
    <t>Chưa đo → ước tính và ghi rõ</t>
  </si>
  <si>
    <t>→ Số hồ sơ đạt rubric / tháng (không phải ticket resolved)</t>
  </si>
  <si>
    <t>MẪU SỐ của Cost/Job</t>
  </si>
  <si>
    <t>→ Hồ sơ không đạt: trường xử lý thủ công</t>
  </si>
  <si>
    <t>Số ca phải escalate</t>
  </si>
  <si>
    <t>S3. API — LLM</t>
  </si>
  <si>
    <t>Giá input ($ / 1M token)</t>
  </si>
  <si>
    <t>GPT-4o mini, trang model chính thức 08/10/2026</t>
  </si>
  <si>
    <t>Giá output ($ / 1M token)</t>
  </si>
  <si>
    <t>Giá cache WRITE ($ / 1M token)</t>
  </si>
  <si>
    <t>Anthropic 5-phút = 1,25× input</t>
  </si>
  <si>
    <t>Giá cache READ ($ / 1M token)</t>
  </si>
  <si>
    <t>≈ 0,1× input (giảm 90%)</t>
  </si>
  <si>
    <t>Số lượt (turns) / job</t>
  </si>
  <si>
    <t>lượt</t>
  </si>
  <si>
    <t>Token input CACHE ĐƯỢC / lượt</t>
  </si>
  <si>
    <t>token</t>
  </si>
  <si>
    <t>System prompt + KB + few-shot</t>
  </si>
  <si>
    <t>Token input FRESH / lượt</t>
  </si>
  <si>
    <t>Câu hỏi khách + dữ liệu động</t>
  </si>
  <si>
    <t>Token output / lượt</t>
  </si>
  <si>
    <t>→ Cache write / job</t>
  </si>
  <si>
    <t>→ Cache read / job</t>
  </si>
  <si>
    <t>→ Input fresh / job</t>
  </si>
  <si>
    <t>→ Output / job</t>
  </si>
  <si>
    <t>→ LLM / job — CÓ prompt caching</t>
  </si>
  <si>
    <t>→ LLM / job — KHÔNG cache</t>
  </si>
  <si>
    <t>→ % tiết kiệm nhờ caching</t>
  </si>
  <si>
    <t>Đòn bẩy rẻ nhất bạn có</t>
  </si>
  <si>
    <t>Dùng Batch API? (1 = có, 0 = không)</t>
  </si>
  <si>
    <t>Batch giảm 50% — chỉ khi job KHÔNG cần realtime</t>
  </si>
  <si>
    <t>→ LLM / job sau Batch</t>
  </si>
  <si>
    <t>S4. API — SPEECH (để 0 nếu sản phẩm không có thoại)</t>
  </si>
  <si>
    <t>Giá STT ($ / phút)</t>
  </si>
  <si>
    <t>Deepgram streaming list $0,0077/phút</t>
  </si>
  <si>
    <t>Số phút audio / job</t>
  </si>
  <si>
    <t>phút</t>
  </si>
  <si>
    <t>Giá TTS ($ / 1M ký tự)</t>
  </si>
  <si>
    <t>ElevenLabs Flash $50 · Google Standard $4</t>
  </si>
  <si>
    <t>Số ký tự TTS / job</t>
  </si>
  <si>
    <t>ký tự</t>
  </si>
  <si>
    <t>≈ 900 ký tự cho mỗi phút bot nói</t>
  </si>
  <si>
    <t>→ Speech / job</t>
  </si>
  <si>
    <t>S5. INFRA</t>
  </si>
  <si>
    <t>Infra / job ($)</t>
  </si>
  <si>
    <t>30 USD cố định / N + 0,005/job + embedding 4.000 token × 0,02/1M</t>
  </si>
  <si>
    <t>Telephony ($ / phút)</t>
  </si>
  <si>
    <t>→ Infra / job</t>
  </si>
  <si>
    <t>S6. RETRY</t>
  </si>
  <si>
    <t>Tỷ lệ job phải chạy lại</t>
  </si>
  <si>
    <t>ĐỪNG để 0%. Thực tế 5–10% là bình thường</t>
  </si>
  <si>
    <t>→ Retry / job</t>
  </si>
  <si>
    <t>S7. HITL — người trong vòng lặp</t>
  </si>
  <si>
    <t>Chi phí nhân sự ($ / giờ, fully-loaded)</t>
  </si>
  <si>
    <t>Gồm lương + bảo hiểm + quản lý + chỗ ngồi</t>
  </si>
  <si>
    <t>% hội thoại QA nội bộ</t>
  </si>
  <si>
    <t>Luôn có, kể cả Biến thể A</t>
  </si>
  <si>
    <t>Số phút QA / ca</t>
  </si>
  <si>
    <t>Số phút xử lý 1 ca escalate</t>
  </si>
  <si>
    <t>→ QA nội bộ / tháng</t>
  </si>
  <si>
    <t>→ Escalation / tháng (chỉ Biến thể B)</t>
  </si>
  <si>
    <t>Biến thể A → 0 vì khách tự chịu</t>
  </si>
  <si>
    <t>→ Tổng HITL / tháng</t>
  </si>
  <si>
    <t>Hỗ trợ kỹ thuật trực tiếp / tháng</t>
  </si>
  <si>
    <t>USD</t>
  </si>
  <si>
    <t>Thêm vào COGS; không phải R&amp;D, không bỏ sót nhân sự hỗ trợ.</t>
  </si>
  <si>
    <t>S8. OVERHEAD (tuỳ chọn)</t>
  </si>
  <si>
    <t>R&amp;D + Sales phân bổ / tháng ($)</t>
  </si>
  <si>
    <t>R&amp;D + sales vận hành phân bổ, không bao gồm CAC/onboarding đầu kỳ</t>
  </si>
  <si>
    <t>KẾT QUẢ</t>
  </si>
  <si>
    <t>Chi phí biến đổi / tháng (API + Speech + Infra + Retry)</t>
  </si>
  <si>
    <t>HITL / tháng</t>
  </si>
  <si>
    <t>Overhead / tháng</t>
  </si>
  <si>
    <t>TỔNG CHI PHÍ / tháng</t>
  </si>
  <si>
    <t>★ COST/JOB (chưa overhead)</t>
  </si>
  <si>
    <t>$/job</t>
  </si>
  <si>
    <t>Con số chảy sang tab 2_Pricing</t>
  </si>
  <si>
    <t>★ COST/JOB (có overhead)</t>
  </si>
  <si>
    <t>Tỷ giá (₫ / USD) — giả định</t>
  </si>
  <si>
    <t>₫/USD</t>
  </si>
  <si>
    <t>Vietcombank XML bán USD 26.100; 08/10/2026 17:06:38</t>
  </si>
  <si>
    <t>→ Cost/Job quy đổi</t>
  </si>
  <si>
    <t>₫/job</t>
  </si>
  <si>
    <t>THÀNH PHẦN NÀO ĂN NHIỀU NHẤT? (kiểm tra nhanh)</t>
  </si>
  <si>
    <t>LLM</t>
  </si>
  <si>
    <t>Speech</t>
  </si>
  <si>
    <t>Infra</t>
  </si>
  <si>
    <t>Retry</t>
  </si>
  <si>
    <t>Overhead</t>
  </si>
  <si>
    <t>LLM nhỏ không có nghĩa thiếu chi phí: đã có infra, QA, support, retry và overhead; xem tab 8.</t>
  </si>
  <si>
    <t>TAB 2 — PRICING SANITY CHECK</t>
  </si>
  <si>
    <t>Trạm 3. Cost/Job tự lấy từ tab 1. Bạn điền giá bán và các con số neo giá.</t>
  </si>
  <si>
    <t>GIÁ SÀN</t>
  </si>
  <si>
    <t>Cost/Job (từ tab 1_Cost_Job)</t>
  </si>
  <si>
    <t>Hệ số an toàn tối thiểu</t>
  </si>
  <si>
    <t>×</t>
  </si>
  <si>
    <t>Giá bán ≥ 3 × Cost/Job</t>
  </si>
  <si>
    <t>→ GIÁ SÀN</t>
  </si>
  <si>
    <t>GIÁ TRẦN — NEO THEO THỨ KHÁCH ĐANG CHI</t>
  </si>
  <si>
    <t>Giá trị khách tiết kiệm được / tháng ($)</t>
  </si>
  <si>
    <t>Neo theo giá trị</t>
  </si>
  <si>
    <t>Số job / tháng của 1 khách</t>
  </si>
  <si>
    <t>→ Trần theo giá trị — mức 10%</t>
  </si>
  <si>
    <t>→ Trần theo giá trị — mức 25%</t>
  </si>
  <si>
    <t>Lương tương đương tháng — chỉ neo tham khảo, không thay 1 nhân sự</t>
  </si>
  <si>
    <t>Neo theo nhân công</t>
  </si>
  <si>
    <t>→ Trần theo nhân công — mức 50%</t>
  </si>
  <si>
    <t>→ Trần theo nhân công — mức 70%</t>
  </si>
  <si>
    <t>GIÁ BÁN CỦA BẠN</t>
  </si>
  <si>
    <t>★ Giá hiệu dụng / job đạt (phí nền phân bổ + usage)</t>
  </si>
  <si>
    <t>Hybrid 100 USD/tháng + 0,15 USD/hồ sơ đạt; ở 800 hồ sơ → 0,275 USD/job. Không phải giá flat outcome.</t>
  </si>
  <si>
    <t>→ Bội số so với Cost/Job</t>
  </si>
  <si>
    <t>→ GROSS MARGIN</t>
  </si>
  <si>
    <t>→ Đèn: bội số ≥ 3?</t>
  </si>
  <si>
    <t>→ Đèn: Gross Margin</t>
  </si>
  <si>
    <t>→ Đèn: GM có cao bất thường?</t>
  </si>
  <si>
    <t>→ Giá bán nằm trong vùng neo?</t>
  </si>
  <si>
    <t>BREAKEVEN CONTAINMENT — ngưỡng sống còn</t>
  </si>
  <si>
    <t>Ký hiệu: v = chi phí biến đổi / job thử · q = QA / job thử · e = chi phí 1 ca escalate</t>
  </si>
  <si>
    <t>v — chi phí biến đổi / job thử</t>
  </si>
  <si>
    <t>q — QA nội bộ / job thử</t>
  </si>
  <si>
    <t>e — chi phí 1 ca escalate</t>
  </si>
  <si>
    <t>Gross Margin mục tiêu</t>
  </si>
  <si>
    <t>★ Tỷ lệ đạt tối thiểu để GM COGS đạt mục tiêu</t>
  </si>
  <si>
    <t>Ngưỡng GM 60%, không phải hòa vốn lợi nhuận ròng. Hybrid F+u×N×R; xem tab 8 và ghi chú công thức.</t>
  </si>
  <si>
    <t>Tỷ lệ đạt hiện tại — GIẢ ĐỊNH, chưa eval</t>
  </si>
  <si>
    <t>→ Kết luận</t>
  </si>
  <si>
    <t>SENSITIVITY — mô hình gãy ở đâu?</t>
  </si>
  <si>
    <t>Cost/Job</t>
  </si>
  <si>
    <t>Gross Margin</t>
  </si>
  <si>
    <t>Đánh giá</t>
  </si>
  <si>
    <t>Nhìn cột Gross Margin: mô hình của bạn mong manh đến mức nào khi AI làm sai nhiều hơn dự kiến?</t>
  </si>
  <si>
    <t>5 CON SỐ PHẢI MANG SANG ONE-PAGER</t>
  </si>
  <si>
    <t>Giá sàn (3×)</t>
  </si>
  <si>
    <t>Giá bán đề xuất</t>
  </si>
  <si>
    <t>Breakeven containment</t>
  </si>
  <si>
    <t>HYBRID / THÁNG — KHÔNG NHẦM VỚI GIÁ OUTCOME</t>
  </si>
  <si>
    <t>Phí nền / tháng</t>
  </si>
  <si>
    <t>Usage / hồ sơ đạt</t>
  </si>
  <si>
    <t>USD/job</t>
  </si>
  <si>
    <t>Doanh thu giả định / tháng</t>
  </si>
  <si>
    <t>COGS / tháng</t>
  </si>
  <si>
    <t>Lãi gộp / tháng</t>
  </si>
  <si>
    <t>Biên sau overhead phân bổ</t>
  </si>
  <si>
    <t>%</t>
  </si>
  <si>
    <t>Không gọi chỉ số này là Gross Margin kế toán.</t>
  </si>
  <si>
    <t>Giá trị thời gian giả định</t>
  </si>
  <si>
    <t>Không phải tiền lương thực cắt giảm.</t>
  </si>
  <si>
    <t>Tỷ lệ capture giá trị</t>
  </si>
  <si>
    <t>Ngưỡng GM COGS 50%</t>
  </si>
  <si>
    <t>Ngưỡng hòa vốn sau overhead</t>
  </si>
  <si>
    <t>TAB 3 — VALUE METRIC SCORECARD</t>
  </si>
  <si>
    <t>Trạm 2. Chấm 0 / 1 / 2 điểm cho mỗi câu, theo THỰC TẾ HÔM NAY.</t>
  </si>
  <si>
    <t>A. ATTRIBUTION — bạn đo được kết quả là do AI tạo ra không?</t>
  </si>
  <si>
    <t>1. Tôi có log đầy đủ mỗi job AI xử lý, gắn được với kết quả cuối cùng</t>
  </si>
  <si>
    <t>2. Tôi có bộ eval đo được tỷ lệ AI làm đúng, có số liệu</t>
  </si>
  <si>
    <t>3. Khách hàng đồng ý với cách tôi định nghĩa 'thành công' của một job</t>
  </si>
  <si>
    <t>4. Tôi phân biệt được kết quả do AI tạo ra với kết quả do yếu tố khác</t>
  </si>
  <si>
    <t>5. Tôi viết được định nghĩa chặt như Intercom: cái gì tính tiền, cái gì không</t>
  </si>
  <si>
    <t>→ ĐIỂM ATTRIBUTION (tối đa 10)</t>
  </si>
  <si>
    <t>B. AUTONOMY — AI tự chạy hay cần người?</t>
  </si>
  <si>
    <t>1. AI hoàn thành job từ đầu đến cuối, không cần người bấm nút giữa chừng</t>
  </si>
  <si>
    <t>2. Job chạy được ngoài giờ hành chính mà không ai trực</t>
  </si>
  <si>
    <t>3. Khi AI không chắc, nó tự chuyển tiếp đúng chỗ — không cần người phân loại</t>
  </si>
  <si>
    <t>4. Tỷ lệ ca phải có người can thiệp dưới 20%</t>
  </si>
  <si>
    <t>5. Người vận hành chỉ kiểm tra mẫu (QA), không xử lý từng ca</t>
  </si>
  <si>
    <t>→ ĐIỂM AUTONOMY (tối đa 10)</t>
  </si>
  <si>
    <t>GỢI Ý CỦA MODEL</t>
  </si>
  <si>
    <t>→ Value Metric gợi ý</t>
  </si>
  <si>
    <t>Ngưỡng 7/10 là quy ước của bài tập, không phải chuẩn ngành — dùng để buộc bạn ra quyết định, không phải để thay bạn quyết định.</t>
  </si>
  <si>
    <t>BENCHMARK NGƯỢC — 2 sản phẩm thật cùng loại job</t>
  </si>
  <si>
    <t>Tên sản phẩm</t>
  </si>
  <si>
    <t>Value Metric</t>
  </si>
  <si>
    <t>Giá công bố</t>
  </si>
  <si>
    <t>Link nguồn</t>
  </si>
  <si>
    <t>Freshdesk Freddy AI Copilot</t>
  </si>
  <si>
    <t>Seat — add-on theo cán bộ</t>
  </si>
  <si>
    <t>$29/agent/tháng, billed annually; thêm gói Freshdesk đủ điều kiện</t>
  </si>
  <si>
    <t>https://www.freshworks.com/freshdesk/pricing/</t>
  </si>
  <si>
    <t>Zendesk Copilot</t>
  </si>
  <si>
    <t>$50/agent/tháng, paid yearly; chưa gồm Zendesk nền</t>
  </si>
  <si>
    <t>https://www.zendesk.com/pricing/</t>
  </si>
  <si>
    <t>QUYẾT ĐỊNH CUỐI</t>
  </si>
  <si>
    <t>Value Metric tôi chọn</t>
  </si>
  <si>
    <t>Hybrid: phí nền theo trường + usage hồ sơ chuẩn bị hợp lệ</t>
  </si>
  <si>
    <t>Nếu KHÁC gợi ý — lý do thị trường là gì?</t>
  </si>
  <si>
    <t>Khớp gợi ý Seat/Hybrid. Chưa có eval hay khách đồng ý success; cán bộ vẫn phê duyệt nên không chọn Outcome nghiệp vụ.</t>
  </si>
  <si>
    <t>Decision Note — câu 1: tôi chọn đơn vị nào?</t>
  </si>
  <si>
    <t>Tôi đề xuất phí nền cho hàng chờ, audit, KB và quyền; usage gắn một hồ sơ chuẩn bị hợp lệ, giới hạn theo revision.</t>
  </si>
  <si>
    <t>Decision Note — câu 2: bằng chứng Attribution / Autonomy?</t>
  </si>
  <si>
    <t>Attribution 3/10, Autonomy 2/10 chỉ có thiết kế/demo một phần. Stub chưa chứng minh chất lượng; eval và pilot là gate.</t>
  </si>
  <si>
    <t>Decision Note — câu 3: mô hình này lỗ trong tình huống nào?</t>
  </si>
  <si>
    <t>Mô hình gãy nếu phải QA mọi hồ sơ, support tăng hoặc khách không chấp nhận phí nền; không tính stub/timeout/hỏng vào usage.</t>
  </si>
  <si>
    <t>Giới hạn benchmark</t>
  </si>
  <si>
    <t>Cùng job hỗ trợ nhân viên tóm tắt/tra cứu/soạn phản hồi; không đặc thù trường đại học, không dùng giá này làm willingness-to-pay.</t>
  </si>
  <si>
    <t>TAB 4 — CHANNEL FIT &amp; AFFORDABILITY TEST</t>
  </si>
  <si>
    <t>Trạm 4. Chọn ĐÚNG 1 kênh cho 90 ngày đầu — và chứng minh bằng số.</t>
  </si>
  <si>
    <t>A. NGÂN SÁCH CAC — bạn nuôi nổi kênh nào?</t>
  </si>
  <si>
    <t>ARPU / tháng ($)</t>
  </si>
  <si>
    <t>Gross Margin (từ tab 2_Pricing)</t>
  </si>
  <si>
    <t>Phân khúc (SMB / Mid / Enterprise)</t>
  </si>
  <si>
    <t>SMB</t>
  </si>
  <si>
    <t>Pilot một đơn vị: dùng payback 12 tháng bảo thủ; không coi cả trường là SMB. Procurement trường có thể dài hơn.</t>
  </si>
  <si>
    <t>→ CAC payback cho phép (tháng)</t>
  </si>
  <si>
    <t>tháng</t>
  </si>
  <si>
    <t>Bessemer, Scaling to $100M (2024)</t>
  </si>
  <si>
    <t>★ NGÂN SÁCH CAC / khách</t>
  </si>
  <si>
    <t>ARPU × GM × số tháng payback</t>
  </si>
  <si>
    <t>→ ACV (giá trị hợp đồng / năm)</t>
  </si>
  <si>
    <t>B. SALES VIABILITY — một AE phải chốt bao nhiêu deal?</t>
  </si>
  <si>
    <t>Quota / AE / năm ($)</t>
  </si>
  <si>
    <t>Quota giả định của lab, không phải nhân viên đã tuyển hoặc benchmark hiện tại.</t>
  </si>
  <si>
    <t>Số ngày làm việc / năm</t>
  </si>
  <si>
    <t>ngày</t>
  </si>
  <si>
    <t>→ Số deal / AE / năm</t>
  </si>
  <si>
    <t>★ Số deal / AE / NGÀY</t>
  </si>
  <si>
    <t>deal/ngày</t>
  </si>
  <si>
    <t>→ Kết luận Sales-Led</t>
  </si>
  <si>
    <t>C. ĐỐI CHIẾU CAC THỰC TẾ CỦA MOTION CÓ SALES</t>
  </si>
  <si>
    <t>Cost per opportunity ($)</t>
  </si>
  <si>
    <t>Founder: 8h × 10 USD + 20 USD tools/opportunity. Không dùng ICONIQ chưa kiểm chứng.</t>
  </si>
  <si>
    <t>Win rate</t>
  </si>
  <si>
    <t>→ CAC founder ước tính / khách — CHƯA THỰC ĐO</t>
  </si>
  <si>
    <t>★ Lệch bao nhiêu lần so với ngân sách CAC?</t>
  </si>
  <si>
    <t>Đây là bằng chứng chọn kênh của bạn</t>
  </si>
  <si>
    <t>D. CHẤM ĐIỂM 3 KÊNH (1 = rất kém, 5 = rất tốt)</t>
  </si>
  <si>
    <t>Tiêu chí</t>
  </si>
  <si>
    <t>PLG</t>
  </si>
  <si>
    <t>Sales-Led</t>
  </si>
  <si>
    <t>Partner-Led</t>
  </si>
  <si>
    <t>1. Ngân sách CAC của tôi nuôi nổi kênh này</t>
  </si>
  <si>
    <t>2. Khách hàng mục tiêu thực sự mua theo cách này</t>
  </si>
  <si>
    <t>3. Đội hiện tại có năng lực chạy kênh này ngay</t>
  </si>
  <si>
    <t>4. Tôi tiếp cận được điểm nhúng / partner trong 30 ngày</t>
  </si>
  <si>
    <t>5. Kênh này đưa tôi đến ĐÚNG Pain Moment</t>
  </si>
  <si>
    <t>6. Tôi đo được hiệu quả trong vòng 90 ngày</t>
  </si>
  <si>
    <t>→ TỔNG ĐIỂM</t>
  </si>
  <si>
    <t>→ Kênh điểm cao nhất</t>
  </si>
  <si>
    <t>E. CHỐT KÊNH</t>
  </si>
  <si>
    <t>★ Kênh tôi chọn cho 90 ngày đầu</t>
  </si>
  <si>
    <t>Sales-Led — founder-led pilot, không tuyển AE</t>
  </si>
  <si>
    <t>ĐÚNG 1 kênh. Chọn 2 kênh trở lên bị trừ điểm.</t>
  </si>
  <si>
    <t>Nếu Partner-Led: TÊN CÔNG TY partner</t>
  </si>
  <si>
    <t>Không áp dụng: không chọn Partner-Led</t>
  </si>
  <si>
    <t>'Các nền tảng trong ngành' = chưa có kênh</t>
  </si>
  <si>
    <t>Đã nói chuyện với họ chưa? (Rồi / Chưa)</t>
  </si>
  <si>
    <t>Không áp dụng; chưa có đối tác/đơn vị pilot</t>
  </si>
  <si>
    <t>Bạn mang lại giá trị gì cho partner?</t>
  </si>
  <si>
    <t>Không áp dụng; không giả định quan hệ với VinUni hoặc đối tác khác</t>
  </si>
  <si>
    <t>Nếu rơi vào vùng không khả thi — lối thoát nào?</t>
  </si>
  <si>
    <t>Giới hạn scope/onboarding; cần đầu mối học vụ + IT, đo willingness-to-pay. Không tuyển AE khi CAC thuê vượt ngân sách.</t>
  </si>
  <si>
    <t>Giảm giá để tự phục vụ / tăng giá + service / Partner-Led</t>
  </si>
  <si>
    <t>SO SÁNH SALES THUÊ VÀ FOUNDER — ĐỀU LÀ GIẢ ĐỊNH</t>
  </si>
  <si>
    <t>CPO sales thuê</t>
  </si>
  <si>
    <t>24h × 35 + 160; không benchmark xác nhận</t>
  </si>
  <si>
    <t>CAC sales thuê gồm onboarding</t>
  </si>
  <si>
    <t>Lệch sales thuê / ngân sách CAC</t>
  </si>
  <si>
    <t>CAC founder gồm onboarding</t>
  </si>
  <si>
    <t>Payback founder</t>
  </si>
  <si>
    <t>Giải thích chọn 1 kênh</t>
  </si>
  <si>
    <t>Cần quyết định nghiệp vụ/IT nên PLG chưa phù hợp; chưa có partner. Founder làm discovery + pilot scope hẹp; không suy ra tuyển AE từ &lt;=1 deal/ngày.</t>
  </si>
  <si>
    <t>Mức CAC có thể giữ GM mục tiêu</t>
  </si>
  <si>
    <t>B9 là trần giả định. Dừng mở rộng khi CPO/win + onboarding vượt trần hoặc pilot không chứng minh giá trị.</t>
  </si>
  <si>
    <t>TAB 5 — PAIN MOMENT · 90-DAY PLAN · EVIDENCE PACK</t>
  </si>
  <si>
    <t>Trạm 5 và Trạm 6.</t>
  </si>
  <si>
    <t>A. PAIN MOMENT — phải đủ 3 phần</t>
  </si>
  <si>
    <t>MẤY GIỜ khách đau nhất?</t>
  </si>
  <si>
    <t>08:30 sáng — giả thuyết cần phỏng vấn</t>
  </si>
  <si>
    <t>Lúc đó họ ĐANG LÀM GÌ?</t>
  </si>
  <si>
    <t>Cán bộ mở hàng chờ, đọc yêu cầu tối hôm trước, kiểm hồ sơ thiếu và soạn phản hồi.</t>
  </si>
  <si>
    <t>Họ đang DÙNG APP / KÊNH NÀO?</t>
  </si>
  <si>
    <t>Dashboard học vụ; trước đó yêu cầu vào chat/cổng SV hoặc email. Chưa khảo sát trường thật.</t>
  </si>
  <si>
    <t>→ Điểm nhúng cụ thể của bạn</t>
  </si>
  <si>
    <t>/dashboard → /tickets/[ticketId] cho cán bộ; /chat cho SV. Nhúng portal trường là kế hoạch, chưa tích hợp.</t>
  </si>
  <si>
    <t>Một bề mặt tích hợp có tên, không phải 'website của chúng tôi'</t>
  </si>
  <si>
    <t>B. 90-DAY PLAN</t>
  </si>
  <si>
    <t>THÁNG 1 — Học</t>
  </si>
  <si>
    <t>THÁNG 2–3 — Đòn bẩy</t>
  </si>
  <si>
    <t>THÁNG 4+ — Mở rộng</t>
  </si>
  <si>
    <t>Kênh sử dụng</t>
  </si>
  <si>
    <t>Sales-Led — founder discovery/pilot</t>
  </si>
  <si>
    <t>Cùng Sales-Led — founder</t>
  </si>
  <si>
    <t>Cùng kênh nếu qua gate; roadmap ngoài 90 ngày</t>
  </si>
  <si>
    <t>Mục tiêu số khách</t>
  </si>
  <si>
    <t>0 khách trả tiền; mục tiêu 1 đơn vị đồng ý pilot</t>
  </si>
  <si>
    <t>Mục tiêu 1 pilot, 2 trường trả tiền đến 06/01/2027; hiện 0</t>
  </si>
  <si>
    <t>Mục tiêu 5 trường đến 06/04/2027, có điều kiện; hiện 0</t>
  </si>
  <si>
    <t>Việc cụ thể 1</t>
  </si>
  <si>
    <t>Phỏng vấn 5 cán bộ + 2 đầu mối IT/ngân sách trước 22/10/2026; chưa liên hệ.</t>
  </si>
  <si>
    <t>Pilot 4 tuần với 3 cán bộ và ≥100 hồ sơ; QA toàn bộ trước khi chuyển sang lấy mẫu.</t>
  </si>
  <si>
    <t>Chỉ mở rộng sau pilot có trả tiền; chuẩn hóa triển khai KB, phân quyền, xuất dữ liệu.</t>
  </si>
  <si>
    <t>Việc cụ thể 2</t>
  </si>
  <si>
    <t>Nối AI thật, log token/time; chấm 50 case hồ sơ + 15 case safety, QA 100%; deadline 22/10/2026.</t>
  </si>
  <si>
    <t>Đo baseline và review phút/job, lỗi nguồn, usage billing; báo cáo trước 06/12/2026.</t>
  </si>
  <si>
    <t>Chuẩn hóa onboarding ≤8h/trường; stress volume/QA/support trước mỗi gói.</t>
  </si>
  <si>
    <t>Việc cụ thể 3</t>
  </si>
  <si>
    <t>Chốt scope/consent pilot 1 đơn vị trước 07/11/2026; chưa có đơn vị nhận thử.</t>
  </si>
  <si>
    <t>Thử gói 100 USD nền + 0,15 USD/job với 2 trường; dừng nếu giá trị, CAC hoặc chất lượng không đạt.</t>
  </si>
  <si>
    <t>Không mở kênh thứ hai trong 90 ngày; chỉ cân nhắc AE khi CAC thuê nằm trong trần.</t>
  </si>
  <si>
    <t>KPI đo được</t>
  </si>
  <si>
    <t>Gate: ≥40/50 hồ sơ đạt; 15/15 case safety đúng; 0 ghi nghiệp vụ ngoài quyền. Mục tiêu chưa đo.</t>
  </si>
  <si>
    <t>Mục tiêu: đạt ≥80%, giảm thời gian ≥30%, GM COGS ≥60%, CAC ≤trần tab4; chưa có kết quả.</t>
  </si>
  <si>
    <t>Mục tiêu 5 trường; GM ≥60%, QA cost không vượt mô hình, 0 lỗi quyền nghiêm trọng.</t>
  </si>
  <si>
    <t>Người chịu trách nhiệm</t>
  </si>
  <si>
    <t>Hoàng Quốc Dũng — người phụ trách đề xuất cho bài cá nhân</t>
  </si>
  <si>
    <t>Hoàng Quốc Dũng; cán bộ/IT pilot chưa xác định, cần đồng thuận</t>
  </si>
  <si>
    <t>Hoàng Quốc Dũng — đầu mối đề xuất; phối hợp nhóm khi được thống nhất</t>
  </si>
  <si>
    <t>Tháng 1 là giai đoạn HỌC, không phải scale. Kế hoạch 'tháng 1 lấy 200 khách ở 5 ngành' là kế hoạch chưa ai từng thử làm.</t>
  </si>
  <si>
    <t>C. EVIDENCE PACK — 3 tài sản bán hàng</t>
  </si>
  <si>
    <t>Tài sản</t>
  </si>
  <si>
    <t>Đã có? (Rồi/Chưa)</t>
  </si>
  <si>
    <t>Nội dung 1 câu — hoặc việc cần làm</t>
  </si>
  <si>
    <t>Người phụ trách · Deadline</t>
  </si>
  <si>
    <t xml:space="preserve">1. Eval Results </t>
  </si>
  <si>
    <t>Chưa có kết quả thực đo</t>
  </si>
  <si>
    <t>Chuẩn bị rubric 50 hồ sơ + 15 safety, log model/token/revision; mục tiêu 40/50 và 15/15.</t>
  </si>
  <si>
    <t>Hoàng Quốc Dũng · 22/10/2026</t>
  </si>
  <si>
    <t xml:space="preserve">2. Risk Checklist </t>
  </si>
  <si>
    <t>Có bản nháp Q&amp;A; chưa IT duyệt</t>
  </si>
  <si>
    <t>docs/Evidence_Pack.md: hallucination/HITL, API data/retention, quyền/xuất dữ liệu/exit; chưa chứng nhận.</t>
  </si>
  <si>
    <t>Hoàng Quốc Dũng · 29/10/2026</t>
  </si>
  <si>
    <t>3. Pilot Report</t>
  </si>
  <si>
    <t>Chưa có pilot</t>
  </si>
  <si>
    <t>Tìm 1 đơn vị; mục tiêu 4 tuần, 3 cán bộ, ≥100 hồ sơ; baseline/assisted time, chất lượng và cost.</t>
  </si>
  <si>
    <t>Hoàng Quốc Dũng · 06/12/2026 (phụ thuộc đơn vị đồng ý)</t>
  </si>
  <si>
    <t>Ô nào CHƯA CÓ thì ghi deadline — đừng bỏ trống. Thành thật về khoảng trống được điểm cao hơn bịa nội dung.</t>
  </si>
  <si>
    <t>D. BÀI TEST NGƯỜI LẠ — nhóm khác đọc One-Pager trong 2 phút</t>
  </si>
  <si>
    <t>Họ trả lời được: bán gì, cho ai, tính tiền theo đơn vị nào? (Được/Không)</t>
  </si>
  <si>
    <t>Chưa test người lạ; có định vị/job/metric rõ trong One-Pager. Deadline 22/10/2026.</t>
  </si>
  <si>
    <t>Họ trả lời được: có lãi trên mỗi đơn vị không, số nào chứng minh? (Được/Không)</t>
  </si>
  <si>
    <t>Tự kiểm số học đã làm; người lạ chưa đọc. Deadline 22/10/2026.</t>
  </si>
  <si>
    <t>Họ trả lời được: tiếp cận khách qua đâu, vì sao kênh đó? (Được/Không)</t>
  </si>
  <si>
    <t>Kênh + lý do đã viết; chưa test với người lạ. Deadline 22/10/2026.</t>
  </si>
  <si>
    <t>Số câu họ phải hỏi lại (mục tiêu ≤ 3)</t>
  </si>
  <si>
    <t>Chưa đo; mục tiêu ≤3 câu hỏi lại. Không ghi 0 giả.</t>
  </si>
  <si>
    <t>Deadline kết thúc 90 ngày</t>
  </si>
  <si>
    <t>Tiêu chí dừng</t>
  </si>
  <si>
    <t>Không có đơn vị đồng ý thử → báo cáo discovery, không bịa pilot. Chưa qua gate → tiếp tục QA 100%, chưa bán gói steady-state.</t>
  </si>
  <si>
    <t>DAY22 — NGUỒN GIÁ ĐÃ KIỂM TRA CHO CAMPUS 24/7</t>
  </si>
  <si>
    <t>Phạm vi</t>
  </si>
  <si>
    <t>Chỉ các nguồn dùng trong bài; không chứng thực bảng giá cũ của template.</t>
  </si>
  <si>
    <t>NGÀY KIỂM TRA</t>
  </si>
  <si>
    <t>Chính sách</t>
  </si>
  <si>
    <t>USD trước thuế; không giả định giảm giá/caching; ghi rõ add-on và chu kỳ trả tiền.</t>
  </si>
  <si>
    <t>Nhóm</t>
  </si>
  <si>
    <t>Mục</t>
  </si>
  <si>
    <t>Giá</t>
  </si>
  <si>
    <t>Đơn vị</t>
  </si>
  <si>
    <t>Nguồn / lưu ý</t>
  </si>
  <si>
    <t>GPT-4o mini — input</t>
  </si>
  <si>
    <t>USD / 1M token</t>
  </si>
  <si>
    <t>https://developers.openai.com/api/docs/models/gpt-4o-mini</t>
  </si>
  <si>
    <t>GPT-4o mini — output</t>
  </si>
  <si>
    <t>GPT-4o mini — cached input</t>
  </si>
  <si>
    <t>https://developers.openai.com/api/docs/models/gpt-4o-mini — base case cache token = 0</t>
  </si>
  <si>
    <t>Embedding</t>
  </si>
  <si>
    <t>text-embedding-3-small</t>
  </si>
  <si>
    <t>https://developers.openai.com/api/docs/models/text-embedding-3-small</t>
  </si>
  <si>
    <t>Sản phẩm</t>
  </si>
  <si>
    <t>USD / agent / tháng, trả năm</t>
  </si>
  <si>
    <t>https://www.freshworks.com/freshdesk/pricing/ — add-on Pro/Enterprise, chưa gồm gói nền; tóm tắt và hỗ trợ phản hồi</t>
  </si>
  <si>
    <t>https://www.zendesk.com/pricing/ — add-on, chưa gồm Zendesk nền; triage, draft, summaries</t>
  </si>
  <si>
    <t>Data</t>
  </si>
  <si>
    <t>OpenAI API</t>
  </si>
  <si>
    <t>Không train mặc định; abuse logs thường tối đa 30 ngày</t>
  </si>
  <si>
    <t>Chính sách, không bảo đảm ZDR</t>
  </si>
  <si>
    <t>https://developers.openai.com/api/docs/guides/your-data — opt-in và ngoại lệ theo endpoint/account</t>
  </si>
  <si>
    <t>FX</t>
  </si>
  <si>
    <t>USD bán Vietcombank</t>
  </si>
  <si>
    <t>VND / USD</t>
  </si>
  <si>
    <t>https://portal.vietcombank.com.vn/Usercontrols/TVPortal.TyGia/pXML.aspx?b=10 — timestamp 08/10/2026 17:06:38</t>
  </si>
  <si>
    <t>GTM</t>
  </si>
  <si>
    <t>Payback 12 tháng</t>
  </si>
  <si>
    <t>Quy ước bài lab</t>
  </si>
  <si>
    <t>Giả định bảo thủ</t>
  </si>
  <si>
    <t>HD_Lab22.md §4.4; không coi là benchmark đã kiểm chứng mới.</t>
  </si>
  <si>
    <t>CPO founder / AE</t>
  </si>
  <si>
    <t>100 / 1.000</t>
  </si>
  <si>
    <t>USD / opportunity — giả định</t>
  </si>
  <si>
    <t>7_Assumptions!B32:B41; không gắn nhãn số liệu thị trường.</t>
  </si>
  <si>
    <t>Nguồn dự án</t>
  </si>
  <si>
    <t>Officer Copilot</t>
  </si>
  <si>
    <t>AI chuẩn bị; cán bộ quyết định</t>
  </si>
  <si>
    <t>Phạm vi sản phẩm</t>
  </si>
  <si>
    <t>C:/Users/dungh/Downloads/Prj_Vinuni/P-120/plan2-3-4.md</t>
  </si>
  <si>
    <t>Nguồn thực trạng</t>
  </si>
  <si>
    <t>Runtime stub</t>
  </si>
  <si>
    <t>StubAgent / StubRag</t>
  </si>
  <si>
    <t>Chưa đo AI E2E</t>
  </si>
  <si>
    <t>C:/Users/dungh/Downloads/Prj_Vinuni/P-120/backend/src/campus247/services/runtime.py</t>
  </si>
  <si>
    <t>Eval</t>
  </si>
  <si>
    <t>Chưa có Actual / N/A</t>
  </si>
  <si>
    <t>Chưa có số đo</t>
  </si>
  <si>
    <t>C:/Users/dungh/Downloads/Prj_Vinuni/P-120/eval/results/report.md; C:/Users/dungh/Downloads/Prj_Vinuni/P-120/RAG/group_project/evaluation/RESULT.md</t>
  </si>
  <si>
    <t>CAMPUS 24/7 — GIẢ ĐỊNH, KHÔNG PHẢI KẾT QUẢ THỰC ĐO</t>
  </si>
  <si>
    <t>Ngày lập</t>
  </si>
  <si>
    <t>Ngày do người dùng cung cấp; kiểm tra nguồn giá cùng ngày.</t>
  </si>
  <si>
    <t>Trạng thái</t>
  </si>
  <si>
    <t>Prototype đang deploy; chưa eval, chưa pilot, chưa người dùng</t>
  </si>
  <si>
    <t>Người dùng xác nhận trong hội thoại.</t>
  </si>
  <si>
    <t>Quy mô</t>
  </si>
  <si>
    <t>1 đơn vị học vụ / 1 trường; chưa có khách trả tiền</t>
  </si>
  <si>
    <t>Mô hình cho một tài khoản khách hàng, không phải doanh thu hiện có.</t>
  </si>
  <si>
    <t>Số job thử/tháng</t>
  </si>
  <si>
    <t>Giả định công suất: 50 hồ sơ/ngày × 20 ngày. Chưa đo nhu cầu.</t>
  </si>
  <si>
    <t>Containment chuẩn bị hồ sơ</t>
  </si>
  <si>
    <t>Giả định 800/1.000 hồ sơ đạt rubric không cần nhóm cung cấp sửa tay; cán bộ trường vẫn review 100%. Không lấy KPI 70% RAG làm containment.</t>
  </si>
  <si>
    <t>Phí nền / trường / tháng (USD)</t>
  </si>
  <si>
    <t>Giả thuyết giá cho hàng chờ, phân quyền, audit, xuất dữ liệu và vận hành KB; không bao gồm tích hợp hệ thống trường thật.</t>
  </si>
  <si>
    <t>Phí usage / hồ sơ đạt (USD)</t>
  </si>
  <si>
    <t>Usage = gói chuẩn bị hồ sơ hợp lệ; không bán kết quả cấp giấy/giải quyết khiếu nại. Không tính tiền timeout, stub, lỗi hoặc bản lặp cùng revision.</t>
  </si>
  <si>
    <t>Phút cán bộ xử lý trước AI</t>
  </si>
  <si>
    <t>Giả định cho đọc hội thoại, kiểm tra thiếu, tra quy định, soạn phản hồi; cần time study, không phải đo thực tế.</t>
  </si>
  <si>
    <t>Phút cán bộ review sau AI</t>
  </si>
  <si>
    <t>Giả định lạc quan cần kiểm chứng. Chỉ tính tiết kiệm cho job đạt; không giảm thời gian xử lý các job không đạt.</t>
  </si>
  <si>
    <t>Chi phí giờ cán bộ / QA (USD)</t>
  </si>
  <si>
    <t>Giả định fully-loaded phục vụ mô hình, không phải mức lương khảo sát.</t>
  </si>
  <si>
    <t>Giờ làm việc/tháng</t>
  </si>
  <si>
    <t>20 ngày × 8 giờ; dùng neo nhân công, không tuyên bố thay một nhân sự.</t>
  </si>
  <si>
    <t>Hạ tầng cố định / tháng (USD)</t>
  </si>
  <si>
    <t>Ngân sách giả định cho app, PostgreSQL, Chroma, backup; chưa mua gói hoặc có hóa đơn.</t>
  </si>
  <si>
    <t>Hạ tầng biến đổi / job thử (USD)</t>
  </si>
  <si>
    <t>Dự phòng truy vấn DB, lưu vết, storage và network; không cộng lặp khoản hạ tầng cố định.</t>
  </si>
  <si>
    <t>Hỗ trợ kỹ thuật nội bộ / tháng (USD)</t>
  </si>
  <si>
    <t>1 giờ × 10 USD/giờ. COGS trực tiếp, tách khỏi R&amp;D. Cần đo; stress test tăng gấp đôi.</t>
  </si>
  <si>
    <t>Embedding token phân bổ / job thử</t>
  </si>
  <si>
    <t>2.000 token embedding truy vấn + 2.000 token phân bổ ingestion. Giả định, cần usage log.</t>
  </si>
  <si>
    <t>Giá embedding / 1M token (USD)</t>
  </si>
  <si>
    <t>Nguồn chính thức OpenAI text-embedding-3-small; kiểm tra 08/10/2026.</t>
  </si>
  <si>
    <t>Giá input GPT-4o mini / 1M token</t>
  </si>
  <si>
    <t>Nguồn chính thức trang model OpenAI; kiểm tra 08/10/2026.</t>
  </si>
  <si>
    <t>Giá output GPT-4o mini / 1M token</t>
  </si>
  <si>
    <t>Giá cached input / 1M token</t>
  </si>
  <si>
    <t>Nguồn chính thức; base case không hưởng caching. Không áp dụng cache write riêng của Anthropic.</t>
  </si>
  <si>
    <t>Phút tiết kiệm / job đạt</t>
  </si>
  <si>
    <t>Chỉ là capacity released; chưa chứng minh giảm tiền lương thực chi.</t>
  </si>
  <si>
    <t>Giá trị thời gian / tháng (USD)</t>
  </si>
  <si>
    <t>Không tính job không đạt là tiết kiệm; không cộng tiết kiệm ngoài giờ sinh viên.</t>
  </si>
  <si>
    <t>R&amp;D + sales vận hành phân bổ / tháng</t>
  </si>
  <si>
    <t>4 giờ × 10 USD; phân bổ giả định một tài khoản ở trạng thái ổn định. Không gồm CAC/onboarding đầu kỳ; không phản ánh tổng burn startup.</t>
  </si>
  <si>
    <t>Lượt LLM / job thử</t>
  </si>
  <si>
    <t>Budget: safety/intake, hỏi bổ sung, triage, evidence, dossier/draft, quality. Chưa tích hợp thật hoặc đo trace.</t>
  </si>
  <si>
    <t>Token input fresh / lượt</t>
  </si>
  <si>
    <t>Budget gồm SOP, hội thoại và nguồn truy xuất; chưa đo, không cộng thêm token cache.</t>
  </si>
  <si>
    <t>Budget schema/intake/checklist/draft; chưa đo.</t>
  </si>
  <si>
    <t>Retry / job thử</t>
  </si>
  <si>
    <t>Giả định 8% thêm một lần chạy lại LLM; không phải số đo, không retry vô hạn.</t>
  </si>
  <si>
    <t>Tỷ lệ QA nội bộ mẫu</t>
  </si>
  <si>
    <t>5% chỉ là kịch bản vận hành sau khi qua gate chất lượng. Trước pilot phải QA 100%, xem stress test.</t>
  </si>
  <si>
    <t>Phút QA / hồ sơ mẫu</t>
  </si>
  <si>
    <t>Kiểm thông tin, nguồn, checklist, draft; giả định cần đo.</t>
  </si>
  <si>
    <t>Quota AE / năm (USD)</t>
  </si>
  <si>
    <t>Giữ giả định bài lab để minh họa affordability, không phải quota nhân viên đã tuyển.</t>
  </si>
  <si>
    <t>Ngày làm việc / năm</t>
  </si>
  <si>
    <t>Giả định bài lab, kiểm tra số học AE; không chứng minh sales trường học khả thi.</t>
  </si>
  <si>
    <t>Giờ founder / opportunity</t>
  </si>
  <si>
    <t>2h tìm đầu mối + 2h discovery + 2h demo + 2h follow-up. Giá thời gian không bằng 0.</t>
  </si>
  <si>
    <t>Giá giờ founder (USD)</t>
  </si>
  <si>
    <t>Opportunity cost giả định; cần log thời gian thực.</t>
  </si>
  <si>
    <t>Tools / opportunity (USD)</t>
  </si>
  <si>
    <t>Ngân sách giả định cho demo, đi lại và công cụ, cần kiểm bằng chi tiêu.</t>
  </si>
  <si>
    <t>Giả định 1 hợp đồng / 4 qualified opportunities; không phải pipeline hiện có.</t>
  </si>
  <si>
    <t>Giờ onboarding / khách</t>
  </si>
  <si>
    <t>Giới hạn cấu hình KB + đào tạo trong phạm vi demo, không tích hợp SIS/SSO thật.</t>
  </si>
  <si>
    <t>Onboarding CAC / khách</t>
  </si>
  <si>
    <t>8h × 10 USD; chi phí thu hút/kích hoạt ban đầu, không cộng lặp COGS hàng tháng.</t>
  </si>
  <si>
    <t>Giờ AE / opportunity</t>
  </si>
  <si>
    <t>Kịch bản sales thuê: discovery, demo, hồ sơ IT/procurement, follow-up; chưa khảo sát.</t>
  </si>
  <si>
    <t>Giá giờ AE fully-loaded (USD)</t>
  </si>
  <si>
    <t>Giả định để so với founder; không gắn nhãn benchmark thị trường.</t>
  </si>
  <si>
    <t>Tools AE / opportunity (USD)</t>
  </si>
  <si>
    <t>Giả định chi phí CRM, lead, đi lại phân bổ.</t>
  </si>
  <si>
    <t>Cost / opportunity AE (USD)</t>
  </si>
  <si>
    <t>Mô hình 24h × 35 + 160, không dùng số ICONIQ chưa xác minh.</t>
  </si>
  <si>
    <t>CAC AE / khách (USD)</t>
  </si>
  <si>
    <t>Có onboarding cùng cách tính như founder.</t>
  </si>
  <si>
    <t>Người phụ trách đề xuất</t>
  </si>
  <si>
    <t>Hoàng Quốc Dũng</t>
  </si>
  <si>
    <t>Kế hoạch cá nhân cho bài Day22; không giao việc hoặc tuyên bố đồng đội đã nhận.</t>
  </si>
  <si>
    <t>Thời điểm cán bộ gặp pain</t>
  </si>
  <si>
    <t>08:30 sáng ngày làm việc</t>
  </si>
  <si>
    <t>Giả thuyết: mở dashboard và xử lý tồn đọng yêu cầu tối hôm trước; chưa phỏng vấn.</t>
  </si>
  <si>
    <t>Bề mặt nhúng</t>
  </si>
  <si>
    <t>Cổng SV /chat và dashboard cán bộ /dashboard → /tickets/[ticketId]</t>
  </si>
  <si>
    <t>Bề mặt hiện có trong prototype; chưa tích hợp portal trường thật.</t>
  </si>
  <si>
    <t>Trạng thái eval thực đo</t>
  </si>
  <si>
    <t>CHƯA CÓ</t>
  </si>
  <si>
    <t>eval/results/report.md để trống; RAG/group_project/evaluation/RESULT.md ghi N/A.</t>
  </si>
  <si>
    <t>Trạng thái pilot thực tế</t>
  </si>
  <si>
    <t>Người dùng xác nhận; tên đơn vị pilot chưa xác định.</t>
  </si>
  <si>
    <t>Ngày kiểm tra nguồn</t>
  </si>
  <si>
    <t>Giá model và benchmark đã đọc trực tiếp từ trang chính thức.</t>
  </si>
  <si>
    <t>Người lập</t>
  </si>
  <si>
    <t>Hoàng Quốc Dũng · MHV 2A202602523</t>
  </si>
  <si>
    <t>Theo tên thư mục bài; tài liệu do AI hỗ trợ soạn để chủ bài rà soát.</t>
  </si>
  <si>
    <t>Tỷ giá bán USD/VND</t>
  </si>
  <si>
    <t>XML Vietcombank trả Sell 26.100; timestamp 10/8/2026 5:06:38 PM. Dùng quy đổi tham khảo, không gồm phí thẻ/thuế.</t>
  </si>
  <si>
    <t>Số job pilot mục tiêu</t>
  </si>
  <si>
    <t>Mục tiêu thử nghiệm, hiện 0 job pilot.</t>
  </si>
  <si>
    <t>Số cán bộ pilot mục tiêu</t>
  </si>
  <si>
    <t>Mục tiêu tuyển người dùng thử, hiện 0.</t>
  </si>
  <si>
    <t>Ngày eval gate mục tiêu</t>
  </si>
  <si>
    <t>22/10/2026</t>
  </si>
  <si>
    <t>Deadline đề xuất, chưa thực hiện.</t>
  </si>
  <si>
    <t>Ngày Procurement Q&amp;A mục tiêu</t>
  </si>
  <si>
    <t>29/10/2026</t>
  </si>
  <si>
    <t>Deadline đề xuất; cần IT trường review.</t>
  </si>
  <si>
    <t>Ngày báo cáo pilot mục tiêu</t>
  </si>
  <si>
    <t>06/12/2026</t>
  </si>
  <si>
    <t>Nếu có đơn vị đồng ý pilot; nếu không, báo cáo blocked và không bịa kết quả.</t>
  </si>
  <si>
    <t>Ngày kết thúc 90 ngày</t>
  </si>
  <si>
    <t>06/01/2027</t>
  </si>
  <si>
    <t>08/10/2026 + 90 ngày; mốc kế hoạch, không phải hạn Vlearn.</t>
  </si>
  <si>
    <t>Phí nền mua được gì</t>
  </si>
  <si>
    <t>Hàng chờ + phân quyền + audit + KB cấu hình + xuất dữ liệu; 1 đơn vị, 3 cán bộ, tối đa 1.000 job thử/tháng</t>
  </si>
  <si>
    <t>Giả thuyết gói; không SLA 24/7 người trực, không unlimited, không cam kết production.</t>
  </si>
  <si>
    <t>Cán bộ bao gồm trong gói</t>
  </si>
  <si>
    <t>Giả định phạm vi gói, hạn chế hỗ trợ/integration.</t>
  </si>
  <si>
    <t>Mục tiêu trường trả tiền cuối 90 ngày</t>
  </si>
  <si>
    <t>Mục tiêu có điều kiện sau gate; hiện 0 khách.</t>
  </si>
  <si>
    <t>Thời gian phản hồi pilot đề xuất</t>
  </si>
  <si>
    <t>1 ngày làm việc</t>
  </si>
  <si>
    <t>Chỉ hỗ trợ kỹ thuật, cần thống nhất trước thử nghiệm; không SLA xử lý giấy của trường.</t>
  </si>
  <si>
    <t>Bộ eval tiếp nhận/hồ sơ</t>
  </si>
  <si>
    <t>Mục tiêu case synthetic có nhãn: 35 giấy, 15 handover; không lấy số đo RAG thay số đo hồ sơ.</t>
  </si>
  <si>
    <t>Bộ eval an toàn</t>
  </si>
  <si>
    <t>Mục tiêu 15 case; mọi ca bắt buộc phải chuyển đúng, không lấy tỷ lệ này làm containment.</t>
  </si>
  <si>
    <t>Gate hồ sơ đạt mục tiêu</t>
  </si>
  <si>
    <t>Ít nhất 40/50 case đạt rubric; là mục tiêu chưa đo.</t>
  </si>
  <si>
    <t>Trần capture giá trị thời gian</t>
  </si>
  <si>
    <t>Quy ước bài lab 10–25%; không phải willingness-to-pay đã phỏng vấn.</t>
  </si>
  <si>
    <t>STRESS TEST — HYBRID F + u × N × R; KHÔNG GIỮ GIÁ HIỆU DỤNG CỐ ĐỊNH</t>
  </si>
  <si>
    <t>Mọi kịch bản là giả định; GM chỉ COGS, biên sau overhead là chỉ số quản trị.</t>
  </si>
  <si>
    <t>Kịch bản</t>
  </si>
  <si>
    <t>Job thử N</t>
  </si>
  <si>
    <t>Tỷ lệ đạt R</t>
  </si>
  <si>
    <t>QA %</t>
  </si>
  <si>
    <t>Retry %</t>
  </si>
  <si>
    <t>Support USD</t>
  </si>
  <si>
    <t>Hệ số API</t>
  </si>
  <si>
    <t>Infra cố định USD</t>
  </si>
  <si>
    <t>Job đạt</t>
  </si>
  <si>
    <t>Doanh thu USD</t>
  </si>
  <si>
    <t>COGS USD</t>
  </si>
  <si>
    <t>Cost/job USD</t>
  </si>
  <si>
    <t>GM COGS</t>
  </si>
  <si>
    <t>Biên sau overhead</t>
  </si>
  <si>
    <t>Giá hiệu dụng</t>
  </si>
  <si>
    <t>Bội giá/cost</t>
  </si>
  <si>
    <t>Base case</t>
  </si>
  <si>
    <t>Tỷ lệ đạt còn 50%</t>
  </si>
  <si>
    <t>Tỷ lệ đạt còn 20%</t>
  </si>
  <si>
    <t>QA 20%</t>
  </si>
  <si>
    <t>QA 100% trước pilot</t>
  </si>
  <si>
    <t>API ×2; không giá khuyến mại</t>
  </si>
  <si>
    <t>Retry 20%</t>
  </si>
  <si>
    <t>Support ×2</t>
  </si>
  <si>
    <t>Volume 500; giữ infra cố định</t>
  </si>
  <si>
    <t>Volume 2.000; nâng infra lên 60</t>
  </si>
  <si>
    <t>Pilot miễn phí 100 job / QA 100%</t>
  </si>
  <si>
    <t>N/A — không doanh thu</t>
  </si>
  <si>
    <t>Giá trị tiết kiệm chỉ 6 phút</t>
  </si>
  <si>
    <t>NGƯỠNG / BIẾN SỐ</t>
  </si>
  <si>
    <t>Giá trị</t>
  </si>
  <si>
    <t>Giải thích</t>
  </si>
  <si>
    <t>R để GM COGS ≥60%</t>
  </si>
  <si>
    <t>Đổi R làm đổi cả số job đạt và giá hiệu dụng; tính trên revenue Hybrid thực.</t>
  </si>
  <si>
    <t>R để GM COGS ≥50%</t>
  </si>
  <si>
    <t>Không phải ngưỡng chất lượng chấp nhận được để triển khai.</t>
  </si>
  <si>
    <t>R để hòa vốn sau overhead</t>
  </si>
  <si>
    <t>Không bao gồm thu hồi CAC hoặc toàn bộ R&amp;D startup.</t>
  </si>
  <si>
    <t>QA tối đa để GM COGS ≥60%</t>
  </si>
  <si>
    <t>Giữ tất cả biến còn lại ở base case.</t>
  </si>
  <si>
    <t>QA tối đa để GM COGS ≥50%</t>
  </si>
  <si>
    <t>Nếu QA vượt ngưỡng này thì GM dưới 50%.</t>
  </si>
  <si>
    <t>Tiết kiệm phút tối thiểu với capture 25%</t>
  </si>
  <si>
    <t>WTP chưa đo. Nếu tiết kiệm &lt;11 phút/job, gói 220 USD vượt capture 25%.</t>
  </si>
  <si>
    <t>Giá trị nếu chỉ tiết kiệm 6 phút</t>
  </si>
  <si>
    <t>Không sửa giả định ROI để làm số đẹp; cần đo bằng time study.</t>
  </si>
  <si>
    <t>Trần 25% khi chỉ tiết kiệm 6 phút</t>
  </si>
  <si>
    <t>Khi đó gói base case vượt trần giá trị dù GM nhà cung cấp vẫn tốt.</t>
  </si>
  <si>
    <t>Hạ tầng tăng ở volume lớn</t>
  </si>
  <si>
    <t>Ngoài gói base</t>
  </si>
  <si>
    <t>Scenario row14 nâng fixed infra từ 30 lên 60. Không ngoại suy hạ tầng 30 USD cho mọi volume. Gói base tối đa 1.000 job thử.</t>
  </si>
  <si>
    <t>Pilot không tính là doanh thu</t>
  </si>
  <si>
    <t>Không doanh thu</t>
  </si>
  <si>
    <t>Row15 là ngân sách thử nghiệm, không dùng để báo GM. Cần tài trợ chi phí pilot trong R&amp;D; không tuyên bố 5% QA ngay từ prototype.</t>
  </si>
  <si>
    <t>TRUY VẾT SỐ ONE-PAGER — ĐƠN VỊ USD, CHƯA PHẢI TRACTION</t>
  </si>
  <si>
    <t>Chỉ số</t>
  </si>
  <si>
    <t>Giá trị / công thức</t>
  </si>
  <si>
    <t>Ô nguồn / loại số</t>
  </si>
  <si>
    <t>1_Cost_Job!B66; tính từ giả định</t>
  </si>
  <si>
    <t>Giá sàn 3×</t>
  </si>
  <si>
    <t>2_Pricing!B7</t>
  </si>
  <si>
    <t>2_Pricing!B19, gồm phân bổ phí nền</t>
  </si>
  <si>
    <t>2_Pricing!B21</t>
  </si>
  <si>
    <t>Rmin GM 60%</t>
  </si>
  <si>
    <t>2_Pricing!B33</t>
  </si>
  <si>
    <t>R giả định</t>
  </si>
  <si>
    <t>1_Cost_Job!B10; KHÔNG đo</t>
  </si>
  <si>
    <t>ARPU</t>
  </si>
  <si>
    <t>4_Channel_Fit!B5; không phải doanh thu hiện có</t>
  </si>
  <si>
    <t>CAC budget</t>
  </si>
  <si>
    <t>4_Channel_Fit!B9</t>
  </si>
  <si>
    <t>Deal/AE/ngày</t>
  </si>
  <si>
    <t>4_Channel_Fit!B16</t>
  </si>
  <si>
    <t>CAC founder</t>
  </si>
  <si>
    <t>4_Channel_Fit!B22; chưa thực đo</t>
  </si>
  <si>
    <t>CAC founder/budget</t>
  </si>
  <si>
    <t>4_Channel_Fit!B23</t>
  </si>
  <si>
    <t>CAC sales thuê</t>
  </si>
  <si>
    <t>4_Channel_Fit!B46; giả định</t>
  </si>
  <si>
    <t>Sales thuê/budget</t>
  </si>
  <si>
    <t>4_Channel_Fit!B47</t>
  </si>
  <si>
    <t>2_Pricing!B61; không gọi GM</t>
  </si>
  <si>
    <t>Giá trị thời gian</t>
  </si>
  <si>
    <t>7_Assumptions!B22; chưa đo/cắt giảm lương</t>
  </si>
  <si>
    <t>QA ngưỡng GM50%</t>
  </si>
  <si>
    <t>8_Stress_Test!B23</t>
  </si>
  <si>
    <t>Nguồn giá 08/10/2026</t>
  </si>
  <si>
    <t>6_Benchmarks!B3</t>
  </si>
  <si>
    <t>Phí nền</t>
  </si>
  <si>
    <t>7_Assumptions!B7</t>
  </si>
  <si>
    <t>Phí usage</t>
  </si>
  <si>
    <t>7_Assumptions!B8</t>
  </si>
  <si>
    <t>Khối lượng thử</t>
  </si>
  <si>
    <t>1_Cost_Job!B9</t>
  </si>
  <si>
    <t>1_Cost_Job!B11</t>
  </si>
  <si>
    <t>Attribution</t>
  </si>
  <si>
    <t>3_Value_Metric!B10, score thực trạng thiết kế/demo</t>
  </si>
  <si>
    <t>Autonomy</t>
  </si>
  <si>
    <t>3_Value_Metric!B18, không có chất lượng AI thật</t>
  </si>
  <si>
    <t>Freshdesk add-on</t>
  </si>
  <si>
    <t>6_Benchmarks!C10, nguồn chính thức</t>
  </si>
  <si>
    <t>Zendesk add-on</t>
  </si>
  <si>
    <t>6_Benchmarks!C11, nguồn chính thức</t>
  </si>
  <si>
    <t>Tiết kiệm phút/job</t>
  </si>
  <si>
    <t>7_Assumptions!B21, giả định</t>
  </si>
  <si>
    <t>Pilot job mục tiêu</t>
  </si>
  <si>
    <t>7_Assumptions!B51</t>
  </si>
  <si>
    <t>Pilot cán bộ mục tiêu</t>
  </si>
  <si>
    <t>7_Assumptions!B52</t>
  </si>
  <si>
    <t>Pilot eval gate ngày</t>
  </si>
  <si>
    <t>7_Assumptions!B53</t>
  </si>
  <si>
    <t>Procurement ngày</t>
  </si>
  <si>
    <t>7_Assumptions!B54</t>
  </si>
  <si>
    <t>Pilot report ngày</t>
  </si>
  <si>
    <t>7_Assumptions!B55</t>
  </si>
  <si>
    <t>90 ngày kết thúc</t>
  </si>
  <si>
    <t>7_Assumptions!B56</t>
  </si>
  <si>
    <t>Mục tiêu khách trả tiền</t>
  </si>
  <si>
    <t>7_Assumptions!B59</t>
  </si>
  <si>
    <t>Pain moment</t>
  </si>
  <si>
    <t>7_Assumptions!B44</t>
  </si>
  <si>
    <t>Gói cán bộ</t>
  </si>
  <si>
    <t>7_Assumptions!B58</t>
  </si>
  <si>
    <t>Pilot 4 tuần</t>
  </si>
  <si>
    <t>4 tuần</t>
  </si>
  <si>
    <t>5_90Day_Plan!C14</t>
  </si>
  <si>
    <t>5 cán bộ + 2 IT</t>
  </si>
  <si>
    <t>5 + 2</t>
  </si>
  <si>
    <t>5_90Day_Plan!B14</t>
  </si>
  <si>
    <t>QA base</t>
  </si>
  <si>
    <t>7_Assumptions!B28; sau gate</t>
  </si>
  <si>
    <t>QA trước pilot</t>
  </si>
  <si>
    <t>8_Stress_Test!D9, chưa có thực đo</t>
  </si>
  <si>
    <t>CAC payback founder</t>
  </si>
  <si>
    <t>4_Channel_Fit!B49</t>
  </si>
  <si>
    <t>0 pilot/khách thực tế</t>
  </si>
  <si>
    <t>7_Assumptions!B3 và B47; người dùng xác nhận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</si>
</sst>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0.0%"/>
    <numFmt numFmtId="165" formatCode="\$#,##0.0000"/>
    <numFmt numFmtId="166" formatCode="#,##0.0"/>
    <numFmt numFmtId="167" formatCode="\$#,##0.00"/>
    <numFmt numFmtId="168" formatCode="\$#,##0"/>
    <numFmt numFmtId="169" formatCode="#,##0.0\×"/>
    <numFmt numFmtId="170" formatCode="#,##0&quot; ₫&quot;"/>
    <numFmt numFmtId="171" formatCode="0.0000"/>
  </numFmts>
  <fonts count="15" x14ac:knownFonts="1">
    <font>
      <sz val="11"/>
      <color theme="1"/>
      <name val="Calibri"/>
      <scheme val="minor"/>
    </font>
    <font>
      <sz val="11"/>
      <color theme="1"/>
      <name val="Calibri"/>
    </font>
    <font>
      <i/>
      <sz val="9"/>
      <color rgb="FF666666"/>
      <name val="Arial"/>
    </font>
    <font>
      <sz val="10"/>
      <color rgb="FF0000FF"/>
      <name val="Arial"/>
    </font>
    <font>
      <sz val="10"/>
      <color theme="1"/>
      <name val="Arial"/>
    </font>
    <font>
      <sz val="10"/>
      <color rgb="FF008000"/>
      <name val="Arial"/>
    </font>
    <font>
      <b/>
      <sz val="10"/>
      <color theme="1"/>
      <name val="Arial"/>
    </font>
    <font>
      <b/>
      <sz val="10"/>
      <color rgb="FFFFFFFF"/>
      <name val="Arial"/>
    </font>
    <font>
      <i/>
      <sz val="10"/>
      <color rgb="FF666666"/>
      <name val="Arial"/>
    </font>
    <font>
      <b/>
      <sz val="10"/>
      <color rgb="FF1F2937"/>
      <name val="Arial"/>
    </font>
    <font>
      <sz val="10"/>
      <color theme="1"/>
      <name val="Calibri"/>
      <scheme val="minor"/>
    </font>
    <font>
      <b/>
      <sz val="13"/>
      <color rgb="FFFFFFFF"/>
      <name val="Arial"/>
    </font>
    <font>
      <sz val="10"/>
      <color rgb="FF17324D"/>
      <name val="Arial"/>
    </font>
    <font>
      <b/>
      <sz val="10"/>
      <color rgb="FF17324D"/>
      <name val="Arial"/>
    </font>
    <font>
      <sz val="10"/>
      <color rgb="FF17324D"/>
      <name val="Calibri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1F2937"/>
        <bgColor rgb="FF1F2937"/>
      </patternFill>
    </fill>
    <fill>
      <patternFill patternType="solid">
        <fgColor rgb="FFFFF2CC"/>
        <bgColor rgb="FFFFF2CC"/>
      </patternFill>
    </fill>
    <fill>
      <patternFill patternType="solid">
        <fgColor rgb="FFE8EAF6"/>
        <bgColor rgb="FFE8EAF6"/>
      </patternFill>
    </fill>
    <fill>
      <patternFill patternType="solid">
        <fgColor rgb="FFF2F2F2"/>
        <bgColor rgb="FFF2F2F2"/>
      </patternFill>
    </fill>
    <fill>
      <patternFill patternType="solid">
        <fgColor rgb="FFEDEDED"/>
        <bgColor rgb="FFEDEDED"/>
      </patternFill>
    </fill>
    <fill>
      <patternFill patternType="solid">
        <fgColor rgb="FFFFF2CC"/>
      </patternFill>
    </fill>
    <fill>
      <patternFill patternType="solid">
        <fgColor rgb="FFF2F2F2"/>
      </patternFill>
    </fill>
    <fill>
      <patternFill patternType="solid">
        <fgColor rgb="FF17324D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</borders>
  <cellStyleXfs count="1">
    <xf numFmtId="0" fontId="0" fillId="0" borderId="0"/>
  </cellStyleXfs>
  <cellXfs count="60">
    <xf numFmtId="0" fontId="0" fillId="0" borderId="0" xfId="0"/>
    <xf numFmtId="0" fontId="2" fillId="0" borderId="0" xfId="0" applyFont="1"/>
    <xf numFmtId="0" fontId="1" fillId="4" borderId="1" xfId="0" applyFont="1" applyFill="1" applyBorder="1"/>
    <xf numFmtId="0" fontId="6" fillId="6" borderId="2" xfId="0" applyFont="1" applyFill="1" applyBorder="1"/>
    <xf numFmtId="0" fontId="3" fillId="3" borderId="2" xfId="0" applyFont="1" applyFill="1" applyBorder="1" applyAlignment="1">
      <alignment vertical="top" wrapText="1"/>
    </xf>
    <xf numFmtId="0" fontId="4" fillId="6" borderId="2" xfId="0" applyFont="1" applyFill="1" applyBorder="1" applyAlignment="1">
      <alignment vertical="top"/>
    </xf>
    <xf numFmtId="0" fontId="2" fillId="6" borderId="2" xfId="0" applyFont="1" applyFill="1" applyBorder="1" applyAlignment="1">
      <alignment vertical="top" wrapText="1"/>
    </xf>
    <xf numFmtId="0" fontId="11" fillId="9" borderId="1" xfId="0" applyFont="1" applyFill="1" applyBorder="1" applyAlignment="1">
      <alignment vertical="top" wrapText="1"/>
    </xf>
    <xf numFmtId="0" fontId="11" fillId="9" borderId="1" xfId="0" applyFont="1" applyFill="1" applyBorder="1"/>
    <xf numFmtId="0" fontId="8" fillId="0" borderId="0" xfId="0" applyFont="1" applyAlignment="1">
      <alignment vertical="top" wrapText="1"/>
    </xf>
    <xf numFmtId="0" fontId="9" fillId="0" borderId="0" xfId="0" applyFont="1" applyAlignment="1">
      <alignment vertical="top" wrapText="1"/>
    </xf>
    <xf numFmtId="0" fontId="4" fillId="0" borderId="0" xfId="0" applyFont="1" applyAlignment="1">
      <alignment vertical="top" wrapText="1"/>
    </xf>
    <xf numFmtId="0" fontId="4" fillId="5" borderId="2" xfId="0" applyFont="1" applyFill="1" applyBorder="1" applyAlignment="1">
      <alignment vertical="top" wrapText="1"/>
    </xf>
    <xf numFmtId="0" fontId="5" fillId="0" borderId="2" xfId="0" applyFont="1" applyBorder="1" applyAlignment="1">
      <alignment vertical="top" wrapText="1"/>
    </xf>
    <xf numFmtId="0" fontId="4" fillId="6" borderId="2" xfId="0" applyFont="1" applyFill="1" applyBorder="1" applyAlignment="1">
      <alignment vertical="top" wrapText="1"/>
    </xf>
    <xf numFmtId="0" fontId="6" fillId="0" borderId="0" xfId="0" applyFont="1" applyAlignment="1">
      <alignment vertical="top" wrapText="1"/>
    </xf>
    <xf numFmtId="0" fontId="10" fillId="0" borderId="0" xfId="0" applyFont="1" applyAlignment="1">
      <alignment vertical="top" wrapText="1"/>
    </xf>
    <xf numFmtId="0" fontId="9" fillId="4" borderId="1" xfId="0" applyFont="1" applyFill="1" applyBorder="1" applyAlignment="1">
      <alignment vertical="top" wrapText="1"/>
    </xf>
    <xf numFmtId="3" fontId="12" fillId="8" borderId="2" xfId="0" applyNumberFormat="1" applyFont="1" applyFill="1" applyBorder="1" applyAlignment="1">
      <alignment vertical="top" wrapText="1"/>
    </xf>
    <xf numFmtId="10" fontId="12" fillId="8" borderId="2" xfId="0" applyNumberFormat="1" applyFont="1" applyFill="1" applyBorder="1" applyAlignment="1">
      <alignment vertical="top" wrapText="1"/>
    </xf>
    <xf numFmtId="167" fontId="12" fillId="8" borderId="2" xfId="0" applyNumberFormat="1" applyFont="1" applyFill="1" applyBorder="1" applyAlignment="1">
      <alignment vertical="top" wrapText="1"/>
    </xf>
    <xf numFmtId="167" fontId="3" fillId="3" borderId="2" xfId="0" applyNumberFormat="1" applyFont="1" applyFill="1" applyBorder="1" applyAlignment="1">
      <alignment vertical="top" wrapText="1"/>
    </xf>
    <xf numFmtId="3" fontId="3" fillId="3" borderId="2" xfId="0" applyNumberFormat="1" applyFont="1" applyFill="1" applyBorder="1" applyAlignment="1">
      <alignment vertical="top" wrapText="1"/>
    </xf>
    <xf numFmtId="165" fontId="12" fillId="8" borderId="2" xfId="0" applyNumberFormat="1" applyFont="1" applyFill="1" applyBorder="1" applyAlignment="1">
      <alignment vertical="top" wrapText="1"/>
    </xf>
    <xf numFmtId="165" fontId="13" fillId="8" borderId="2" xfId="0" applyNumberFormat="1" applyFont="1" applyFill="1" applyBorder="1" applyAlignment="1">
      <alignment vertical="top" wrapText="1"/>
    </xf>
    <xf numFmtId="164" fontId="12" fillId="8" borderId="2" xfId="0" applyNumberFormat="1" applyFont="1" applyFill="1" applyBorder="1" applyAlignment="1">
      <alignment vertical="top" wrapText="1"/>
    </xf>
    <xf numFmtId="165" fontId="3" fillId="3" borderId="2" xfId="0" applyNumberFormat="1" applyFont="1" applyFill="1" applyBorder="1" applyAlignment="1">
      <alignment vertical="top" wrapText="1"/>
    </xf>
    <xf numFmtId="166" fontId="3" fillId="3" borderId="2" xfId="0" applyNumberFormat="1" applyFont="1" applyFill="1" applyBorder="1" applyAlignment="1">
      <alignment vertical="top" wrapText="1"/>
    </xf>
    <xf numFmtId="166" fontId="12" fillId="8" borderId="2" xfId="0" applyNumberFormat="1" applyFont="1" applyFill="1" applyBorder="1" applyAlignment="1">
      <alignment vertical="top" wrapText="1"/>
    </xf>
    <xf numFmtId="167" fontId="13" fillId="8" borderId="2" xfId="0" applyNumberFormat="1" applyFont="1" applyFill="1" applyBorder="1" applyAlignment="1">
      <alignment vertical="top" wrapText="1"/>
    </xf>
    <xf numFmtId="171" fontId="14" fillId="8" borderId="0" xfId="0" applyNumberFormat="1" applyFont="1" applyFill="1" applyAlignment="1">
      <alignment vertical="top" wrapText="1"/>
    </xf>
    <xf numFmtId="170" fontId="12" fillId="8" borderId="2" xfId="0" applyNumberFormat="1" applyFont="1" applyFill="1" applyBorder="1" applyAlignment="1">
      <alignment vertical="top" wrapText="1"/>
    </xf>
    <xf numFmtId="168" fontId="12" fillId="8" borderId="2" xfId="0" applyNumberFormat="1" applyFont="1" applyFill="1" applyBorder="1" applyAlignment="1">
      <alignment vertical="top" wrapText="1"/>
    </xf>
    <xf numFmtId="169" fontId="12" fillId="8" borderId="2" xfId="0" applyNumberFormat="1" applyFont="1" applyFill="1" applyBorder="1" applyAlignment="1">
      <alignment vertical="top" wrapText="1"/>
    </xf>
    <xf numFmtId="10" fontId="13" fillId="8" borderId="2" xfId="0" applyNumberFormat="1" applyFont="1" applyFill="1" applyBorder="1" applyAlignment="1">
      <alignment vertical="top" wrapText="1"/>
    </xf>
    <xf numFmtId="171" fontId="12" fillId="8" borderId="2" xfId="0" applyNumberFormat="1" applyFont="1" applyFill="1" applyBorder="1" applyAlignment="1">
      <alignment vertical="top" wrapText="1"/>
    </xf>
    <xf numFmtId="10" fontId="3" fillId="3" borderId="2" xfId="0" applyNumberFormat="1" applyFont="1" applyFill="1" applyBorder="1" applyAlignment="1">
      <alignment vertical="top" wrapText="1"/>
    </xf>
    <xf numFmtId="0" fontId="6" fillId="6" borderId="2" xfId="0" applyFont="1" applyFill="1" applyBorder="1" applyAlignment="1">
      <alignment vertical="top" wrapText="1"/>
    </xf>
    <xf numFmtId="164" fontId="4" fillId="6" borderId="2" xfId="0" applyNumberFormat="1" applyFont="1" applyFill="1" applyBorder="1" applyAlignment="1">
      <alignment vertical="top" wrapText="1"/>
    </xf>
    <xf numFmtId="0" fontId="12" fillId="8" borderId="2" xfId="0" applyFont="1" applyFill="1" applyBorder="1" applyAlignment="1">
      <alignment vertical="top" wrapText="1"/>
    </xf>
    <xf numFmtId="164" fontId="13" fillId="8" borderId="2" xfId="0" applyNumberFormat="1" applyFont="1" applyFill="1" applyBorder="1" applyAlignment="1">
      <alignment vertical="top" wrapText="1"/>
    </xf>
    <xf numFmtId="10" fontId="14" fillId="8" borderId="0" xfId="0" applyNumberFormat="1" applyFont="1" applyFill="1" applyAlignment="1">
      <alignment vertical="top" wrapText="1"/>
    </xf>
    <xf numFmtId="3" fontId="13" fillId="8" borderId="2" xfId="0" applyNumberFormat="1" applyFont="1" applyFill="1" applyBorder="1" applyAlignment="1">
      <alignment vertical="top" wrapText="1"/>
    </xf>
    <xf numFmtId="171" fontId="13" fillId="8" borderId="2" xfId="0" applyNumberFormat="1" applyFont="1" applyFill="1" applyBorder="1" applyAlignment="1">
      <alignment vertical="top" wrapText="1"/>
    </xf>
    <xf numFmtId="168" fontId="13" fillId="8" borderId="2" xfId="0" applyNumberFormat="1" applyFont="1" applyFill="1" applyBorder="1" applyAlignment="1">
      <alignment vertical="top" wrapText="1"/>
    </xf>
    <xf numFmtId="4" fontId="13" fillId="8" borderId="2" xfId="0" applyNumberFormat="1" applyFont="1" applyFill="1" applyBorder="1" applyAlignment="1">
      <alignment vertical="top" wrapText="1"/>
    </xf>
    <xf numFmtId="169" fontId="13" fillId="8" borderId="2" xfId="0" applyNumberFormat="1" applyFont="1" applyFill="1" applyBorder="1" applyAlignment="1">
      <alignment vertical="top" wrapText="1"/>
    </xf>
    <xf numFmtId="0" fontId="13" fillId="8" borderId="2" xfId="0" applyFont="1" applyFill="1" applyBorder="1" applyAlignment="1">
      <alignment vertical="top" wrapText="1"/>
    </xf>
    <xf numFmtId="0" fontId="7" fillId="2" borderId="2" xfId="0" applyFont="1" applyFill="1" applyBorder="1" applyAlignment="1">
      <alignment vertical="top" wrapText="1"/>
    </xf>
    <xf numFmtId="0" fontId="8" fillId="6" borderId="2" xfId="0" applyFont="1" applyFill="1" applyBorder="1" applyAlignment="1">
      <alignment vertical="top" wrapText="1"/>
    </xf>
    <xf numFmtId="0" fontId="11" fillId="9" borderId="0" xfId="0" applyFont="1" applyFill="1" applyAlignment="1">
      <alignment vertical="top" wrapText="1"/>
    </xf>
    <xf numFmtId="0" fontId="11" fillId="9" borderId="0" xfId="0" applyFont="1" applyFill="1"/>
    <xf numFmtId="0" fontId="10" fillId="7" borderId="0" xfId="0" applyFont="1" applyFill="1" applyAlignment="1">
      <alignment vertical="top" wrapText="1"/>
    </xf>
    <xf numFmtId="10" fontId="10" fillId="7" borderId="0" xfId="0" applyNumberFormat="1" applyFont="1" applyFill="1" applyAlignment="1">
      <alignment vertical="top" wrapText="1"/>
    </xf>
    <xf numFmtId="10" fontId="10" fillId="0" borderId="0" xfId="0" applyNumberFormat="1" applyFont="1" applyAlignment="1">
      <alignment vertical="top" wrapText="1"/>
    </xf>
    <xf numFmtId="0" fontId="14" fillId="8" borderId="0" xfId="0" applyFont="1" applyFill="1" applyAlignment="1">
      <alignment vertical="top" wrapText="1"/>
    </xf>
    <xf numFmtId="0" fontId="10" fillId="0" borderId="0" xfId="0" applyFont="1" applyAlignment="1">
      <alignment vertical="top" wrapText="1"/>
    </xf>
    <xf numFmtId="0" fontId="0" fillId="0" borderId="0" xfId="0"/>
    <xf numFmtId="0" fontId="11" fillId="9" borderId="0" xfId="0" applyFont="1" applyFill="1" applyAlignment="1">
      <alignment vertical="top" wrapText="1"/>
    </xf>
    <xf numFmtId="0" fontId="11" fillId="9" borderId="0" xfId="0" applyFont="1" applyFill="1"/>
  </cellXfs>
  <cellStyles count="1">
    <cellStyle name="Bình thường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H1000"/>
  <sheetViews>
    <sheetView showGridLines="0" tabSelected="1" workbookViewId="0">
      <pane xSplit="1" ySplit="3" topLeftCell="B4" activePane="bottomRight" state="frozen"/>
      <selection pane="topRight"/>
      <selection pane="bottomLeft"/>
      <selection pane="bottomRight"/>
    </sheetView>
  </sheetViews>
  <sheetFormatPr defaultColWidth="14.42578125" defaultRowHeight="15" customHeight="1" x14ac:dyDescent="0.25"/>
  <cols>
    <col min="1" max="1" width="55" customWidth="1"/>
    <col min="2" max="2" width="57" customWidth="1"/>
    <col min="3" max="3" width="24" customWidth="1"/>
    <col min="4" max="4" width="70" customWidth="1"/>
    <col min="5" max="8" width="24" customWidth="1"/>
    <col min="9" max="26" width="8.7109375" customWidth="1"/>
  </cols>
  <sheetData>
    <row r="1" spans="1:8" ht="42.95" customHeight="1" x14ac:dyDescent="0.25">
      <c r="A1" s="7" t="s">
        <v>0</v>
      </c>
      <c r="B1" s="8"/>
      <c r="C1" s="8"/>
      <c r="D1" s="8"/>
      <c r="E1" s="8"/>
      <c r="F1" s="8"/>
      <c r="G1" s="8"/>
      <c r="H1" s="8"/>
    </row>
    <row r="2" spans="1:8" ht="30.95" customHeight="1" x14ac:dyDescent="0.25">
      <c r="A2" s="9" t="s">
        <v>1</v>
      </c>
    </row>
    <row r="3" spans="1:8" ht="30.95" customHeight="1" x14ac:dyDescent="0.25"/>
    <row r="4" spans="1:8" ht="30.95" customHeight="1" x14ac:dyDescent="0.25">
      <c r="A4" s="10" t="s">
        <v>2</v>
      </c>
    </row>
    <row r="5" spans="1:8" ht="30.95" customHeight="1" x14ac:dyDescent="0.25">
      <c r="A5" s="4" t="s">
        <v>3</v>
      </c>
      <c r="B5" s="11" t="s">
        <v>4</v>
      </c>
    </row>
    <row r="6" spans="1:8" ht="30.95" customHeight="1" x14ac:dyDescent="0.25">
      <c r="A6" s="12" t="s">
        <v>5</v>
      </c>
      <c r="B6" s="11" t="s">
        <v>6</v>
      </c>
    </row>
    <row r="7" spans="1:8" ht="30.95" customHeight="1" x14ac:dyDescent="0.25">
      <c r="A7" s="13" t="s">
        <v>7</v>
      </c>
      <c r="B7" s="11" t="s">
        <v>8</v>
      </c>
    </row>
    <row r="8" spans="1:8" ht="30.95" customHeight="1" x14ac:dyDescent="0.25">
      <c r="A8" s="14" t="s">
        <v>9</v>
      </c>
      <c r="B8" s="11" t="s">
        <v>10</v>
      </c>
    </row>
    <row r="9" spans="1:8" ht="30.95" customHeight="1" x14ac:dyDescent="0.25"/>
    <row r="10" spans="1:8" ht="30.95" customHeight="1" x14ac:dyDescent="0.25">
      <c r="A10" s="10" t="s">
        <v>11</v>
      </c>
    </row>
    <row r="11" spans="1:8" ht="30.95" customHeight="1" x14ac:dyDescent="0.25">
      <c r="A11" s="15" t="s">
        <v>12</v>
      </c>
      <c r="B11" s="11" t="s">
        <v>13</v>
      </c>
    </row>
    <row r="12" spans="1:8" ht="30.95" customHeight="1" x14ac:dyDescent="0.25">
      <c r="A12" s="15" t="s">
        <v>14</v>
      </c>
      <c r="B12" s="11" t="s">
        <v>15</v>
      </c>
    </row>
    <row r="13" spans="1:8" ht="30.95" customHeight="1" x14ac:dyDescent="0.25">
      <c r="A13" s="15" t="s">
        <v>16</v>
      </c>
      <c r="B13" s="11" t="s">
        <v>17</v>
      </c>
    </row>
    <row r="14" spans="1:8" ht="30.95" customHeight="1" x14ac:dyDescent="0.25">
      <c r="A14" s="15" t="s">
        <v>18</v>
      </c>
      <c r="B14" s="11" t="s">
        <v>19</v>
      </c>
    </row>
    <row r="15" spans="1:8" ht="30.95" customHeight="1" x14ac:dyDescent="0.25">
      <c r="A15" s="15" t="s">
        <v>20</v>
      </c>
      <c r="B15" s="11" t="s">
        <v>21</v>
      </c>
    </row>
    <row r="16" spans="1:8" ht="30.95" customHeight="1" x14ac:dyDescent="0.25">
      <c r="A16" s="15" t="s">
        <v>22</v>
      </c>
      <c r="B16" s="11" t="s">
        <v>23</v>
      </c>
    </row>
    <row r="17" spans="1:2" ht="30.95" customHeight="1" x14ac:dyDescent="0.25"/>
    <row r="18" spans="1:2" ht="30.95" customHeight="1" x14ac:dyDescent="0.25">
      <c r="A18" s="10" t="s">
        <v>24</v>
      </c>
    </row>
    <row r="19" spans="1:2" ht="30.95" customHeight="1" x14ac:dyDescent="0.25">
      <c r="A19" s="11" t="s">
        <v>25</v>
      </c>
    </row>
    <row r="20" spans="1:2" ht="30.95" customHeight="1" x14ac:dyDescent="0.25">
      <c r="A20" s="11" t="s">
        <v>26</v>
      </c>
    </row>
    <row r="21" spans="1:2" ht="30.95" customHeight="1" x14ac:dyDescent="0.25">
      <c r="A21" s="11" t="s">
        <v>27</v>
      </c>
    </row>
    <row r="22" spans="1:2" ht="30.95" customHeight="1" x14ac:dyDescent="0.25"/>
    <row r="23" spans="1:2" ht="48" customHeight="1" x14ac:dyDescent="0.25">
      <c r="A23" s="9" t="s">
        <v>28</v>
      </c>
    </row>
    <row r="24" spans="1:2" ht="48" customHeight="1" x14ac:dyDescent="0.25">
      <c r="A24" s="9" t="s">
        <v>29</v>
      </c>
    </row>
    <row r="25" spans="1:2" ht="30.95" customHeight="1" x14ac:dyDescent="0.25"/>
    <row r="26" spans="1:2" ht="30.95" customHeight="1" x14ac:dyDescent="0.25">
      <c r="A26" s="16" t="s">
        <v>30</v>
      </c>
      <c r="B26" s="16" t="s">
        <v>31</v>
      </c>
    </row>
    <row r="27" spans="1:2" ht="30.95" customHeight="1" x14ac:dyDescent="0.25">
      <c r="A27" s="16" t="s">
        <v>32</v>
      </c>
      <c r="B27" s="16" t="s">
        <v>33</v>
      </c>
    </row>
    <row r="28" spans="1:2" ht="48" customHeight="1" x14ac:dyDescent="0.25">
      <c r="A28" s="16" t="s">
        <v>34</v>
      </c>
      <c r="B28" s="16" t="s">
        <v>35</v>
      </c>
    </row>
    <row r="29" spans="1:2" ht="48" customHeight="1" x14ac:dyDescent="0.25">
      <c r="A29" s="16" t="s">
        <v>36</v>
      </c>
      <c r="B29" s="16" t="s">
        <v>37</v>
      </c>
    </row>
    <row r="30" spans="1:2" ht="48" customHeight="1" x14ac:dyDescent="0.25">
      <c r="A30" s="16" t="s">
        <v>38</v>
      </c>
      <c r="B30" s="16" t="s">
        <v>39</v>
      </c>
    </row>
    <row r="31" spans="1:2" ht="48" customHeight="1" x14ac:dyDescent="0.25">
      <c r="A31" s="16" t="s">
        <v>40</v>
      </c>
      <c r="B31" s="16" t="s">
        <v>41</v>
      </c>
    </row>
    <row r="32" spans="1:2" ht="48" customHeight="1" x14ac:dyDescent="0.25">
      <c r="A32" s="16" t="s">
        <v>42</v>
      </c>
      <c r="B32" s="16" t="s">
        <v>43</v>
      </c>
    </row>
    <row r="33" spans="1:2" ht="48" customHeight="1" x14ac:dyDescent="0.25">
      <c r="A33" s="16" t="s">
        <v>44</v>
      </c>
      <c r="B33" s="16" t="s">
        <v>45</v>
      </c>
    </row>
    <row r="34" spans="1:2" ht="48" customHeight="1" x14ac:dyDescent="0.25">
      <c r="A34" s="16" t="s">
        <v>46</v>
      </c>
      <c r="B34" s="16" t="s">
        <v>47</v>
      </c>
    </row>
    <row r="35" spans="1:2" ht="30.95" customHeight="1" x14ac:dyDescent="0.25">
      <c r="A35" s="16" t="s">
        <v>48</v>
      </c>
      <c r="B35" s="16" t="s">
        <v>49</v>
      </c>
    </row>
    <row r="36" spans="1:2" ht="30.95" customHeight="1" x14ac:dyDescent="0.25">
      <c r="A36" s="16" t="s">
        <v>50</v>
      </c>
      <c r="B36" s="16" t="s">
        <v>51</v>
      </c>
    </row>
    <row r="37" spans="1:2" ht="30.95" customHeight="1" x14ac:dyDescent="0.25">
      <c r="A37" s="16" t="s">
        <v>52</v>
      </c>
      <c r="B37" s="16" t="s">
        <v>53</v>
      </c>
    </row>
    <row r="38" spans="1:2" ht="15.75" customHeight="1" x14ac:dyDescent="0.25"/>
    <row r="39" spans="1:2" ht="15.75" customHeight="1" x14ac:dyDescent="0.25"/>
    <row r="40" spans="1:2" ht="15.75" customHeight="1" x14ac:dyDescent="0.25"/>
    <row r="41" spans="1:2" ht="15.75" customHeight="1" x14ac:dyDescent="0.25"/>
    <row r="42" spans="1:2" ht="15.75" customHeight="1" x14ac:dyDescent="0.25"/>
    <row r="43" spans="1:2" ht="15.75" customHeight="1" x14ac:dyDescent="0.25"/>
    <row r="44" spans="1:2" ht="15.75" customHeight="1" x14ac:dyDescent="0.25"/>
    <row r="45" spans="1:2" ht="15.75" customHeight="1" x14ac:dyDescent="0.25"/>
    <row r="46" spans="1:2" ht="15.75" customHeight="1" x14ac:dyDescent="0.25"/>
    <row r="47" spans="1:2" ht="15.75" customHeight="1" x14ac:dyDescent="0.25"/>
    <row r="48" spans="1:2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rintOptions horizontalCentered="1"/>
  <pageMargins left="0.75" right="0.75" top="1" bottom="1" header="0" footer="0"/>
  <pageSetup paperSize="9" fitToHeight="0" orientation="landscape"/>
  <headerFooter>
    <oddFooter>&amp;CCampus 24/7 · Day22 · Giả định / chưa pilot&amp;RTrang &amp;P /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H1000"/>
  <sheetViews>
    <sheetView showGridLines="0" workbookViewId="0">
      <pane xSplit="1" ySplit="3" topLeftCell="B4" activePane="bottomRight" state="frozen"/>
      <selection pane="topRight"/>
      <selection pane="bottomLeft"/>
      <selection pane="bottomRight"/>
    </sheetView>
  </sheetViews>
  <sheetFormatPr defaultColWidth="14.42578125" defaultRowHeight="15" customHeight="1" x14ac:dyDescent="0.25"/>
  <cols>
    <col min="1" max="1" width="55" customWidth="1"/>
    <col min="2" max="2" width="57" customWidth="1"/>
    <col min="3" max="3" width="24" customWidth="1"/>
    <col min="4" max="4" width="70" customWidth="1"/>
    <col min="5" max="8" width="15" customWidth="1"/>
    <col min="9" max="26" width="8.7109375" customWidth="1"/>
  </cols>
  <sheetData>
    <row r="1" spans="1:8" ht="42.95" customHeight="1" x14ac:dyDescent="0.25">
      <c r="A1" s="7" t="s">
        <v>54</v>
      </c>
      <c r="B1" s="8"/>
      <c r="C1" s="8"/>
      <c r="D1" s="8"/>
      <c r="E1" s="8"/>
      <c r="F1" s="8"/>
      <c r="G1" s="8"/>
      <c r="H1" s="8"/>
    </row>
    <row r="2" spans="1:8" ht="30.95" customHeight="1" x14ac:dyDescent="0.25">
      <c r="A2" s="9" t="s">
        <v>55</v>
      </c>
    </row>
    <row r="3" spans="1:8" ht="30.95" customHeight="1" x14ac:dyDescent="0.25"/>
    <row r="4" spans="1:8" ht="30.95" customHeight="1" x14ac:dyDescent="0.25">
      <c r="A4" s="17" t="s">
        <v>56</v>
      </c>
      <c r="B4" s="2"/>
      <c r="C4" s="2"/>
      <c r="D4" s="2"/>
      <c r="E4" s="2"/>
      <c r="F4" s="2"/>
      <c r="G4" s="2"/>
      <c r="H4" s="2"/>
    </row>
    <row r="5" spans="1:8" ht="48" customHeight="1" x14ac:dyDescent="0.25">
      <c r="A5" s="11" t="s">
        <v>57</v>
      </c>
      <c r="B5" s="4" t="s">
        <v>58</v>
      </c>
      <c r="D5" s="9" t="s">
        <v>59</v>
      </c>
    </row>
    <row r="6" spans="1:8" ht="30.95" customHeight="1" x14ac:dyDescent="0.25">
      <c r="A6" s="11" t="s">
        <v>60</v>
      </c>
      <c r="B6" s="4" t="s">
        <v>61</v>
      </c>
      <c r="D6" s="9" t="s">
        <v>62</v>
      </c>
    </row>
    <row r="7" spans="1:8" ht="30.95" customHeight="1" x14ac:dyDescent="0.25"/>
    <row r="8" spans="1:8" ht="30.95" customHeight="1" x14ac:dyDescent="0.25">
      <c r="A8" s="17" t="s">
        <v>63</v>
      </c>
      <c r="B8" s="2"/>
      <c r="C8" s="2"/>
      <c r="D8" s="2"/>
      <c r="E8" s="2"/>
      <c r="F8" s="2"/>
      <c r="G8" s="2"/>
      <c r="H8" s="2"/>
    </row>
    <row r="9" spans="1:8" ht="30.95" customHeight="1" x14ac:dyDescent="0.25">
      <c r="A9" s="11" t="s">
        <v>64</v>
      </c>
      <c r="B9" s="18">
        <f>'7_Assumptions'!B5</f>
        <v>1000</v>
      </c>
      <c r="C9" s="9" t="s">
        <v>65</v>
      </c>
    </row>
    <row r="10" spans="1:8" ht="30.95" customHeight="1" x14ac:dyDescent="0.25">
      <c r="A10" s="11" t="s">
        <v>66</v>
      </c>
      <c r="B10" s="19">
        <f>'7_Assumptions'!B6</f>
        <v>0.8</v>
      </c>
      <c r="D10" s="9" t="s">
        <v>67</v>
      </c>
    </row>
    <row r="11" spans="1:8" ht="30.95" customHeight="1" x14ac:dyDescent="0.25">
      <c r="A11" s="11" t="s">
        <v>68</v>
      </c>
      <c r="B11" s="18">
        <f>B9*B10</f>
        <v>800</v>
      </c>
      <c r="C11" s="9" t="s">
        <v>65</v>
      </c>
      <c r="D11" s="9" t="s">
        <v>69</v>
      </c>
    </row>
    <row r="12" spans="1:8" ht="30.95" customHeight="1" x14ac:dyDescent="0.25">
      <c r="A12" s="11" t="s">
        <v>70</v>
      </c>
      <c r="B12" s="18">
        <f>B9-B11</f>
        <v>200</v>
      </c>
      <c r="C12" s="9" t="s">
        <v>65</v>
      </c>
      <c r="D12" s="9" t="s">
        <v>71</v>
      </c>
    </row>
    <row r="13" spans="1:8" ht="30.95" customHeight="1" x14ac:dyDescent="0.25"/>
    <row r="14" spans="1:8" ht="30.95" customHeight="1" x14ac:dyDescent="0.25">
      <c r="A14" s="17" t="s">
        <v>72</v>
      </c>
      <c r="B14" s="2"/>
      <c r="C14" s="2"/>
      <c r="D14" s="2"/>
      <c r="E14" s="2"/>
      <c r="F14" s="2"/>
      <c r="G14" s="2"/>
      <c r="H14" s="2"/>
    </row>
    <row r="15" spans="1:8" ht="30.95" customHeight="1" x14ac:dyDescent="0.25">
      <c r="A15" s="11" t="s">
        <v>73</v>
      </c>
      <c r="B15" s="20">
        <f>'7_Assumptions'!B18</f>
        <v>0.15</v>
      </c>
      <c r="D15" s="9" t="s">
        <v>74</v>
      </c>
    </row>
    <row r="16" spans="1:8" ht="30.95" customHeight="1" x14ac:dyDescent="0.25">
      <c r="A16" s="11" t="s">
        <v>75</v>
      </c>
      <c r="B16" s="20">
        <f>'7_Assumptions'!B19</f>
        <v>0.6</v>
      </c>
    </row>
    <row r="17" spans="1:4" ht="30.95" customHeight="1" x14ac:dyDescent="0.25">
      <c r="A17" s="11" t="s">
        <v>76</v>
      </c>
      <c r="B17" s="21">
        <v>0</v>
      </c>
      <c r="D17" s="9" t="s">
        <v>77</v>
      </c>
    </row>
    <row r="18" spans="1:4" ht="30.95" customHeight="1" x14ac:dyDescent="0.25">
      <c r="A18" s="11" t="s">
        <v>78</v>
      </c>
      <c r="B18" s="20">
        <f>'7_Assumptions'!B20</f>
        <v>7.4999999999999997E-2</v>
      </c>
      <c r="D18" s="9" t="s">
        <v>79</v>
      </c>
    </row>
    <row r="19" spans="1:4" ht="30.95" customHeight="1" x14ac:dyDescent="0.25">
      <c r="A19" s="11" t="s">
        <v>80</v>
      </c>
      <c r="B19" s="18">
        <f>'7_Assumptions'!B24</f>
        <v>6</v>
      </c>
      <c r="C19" s="9" t="s">
        <v>81</v>
      </c>
    </row>
    <row r="20" spans="1:4" ht="30.95" customHeight="1" x14ac:dyDescent="0.25">
      <c r="A20" s="11" t="s">
        <v>82</v>
      </c>
      <c r="B20" s="22">
        <v>0</v>
      </c>
      <c r="C20" s="9" t="s">
        <v>83</v>
      </c>
      <c r="D20" s="9" t="s">
        <v>84</v>
      </c>
    </row>
    <row r="21" spans="1:4" ht="30.95" customHeight="1" x14ac:dyDescent="0.25">
      <c r="A21" s="11" t="s">
        <v>85</v>
      </c>
      <c r="B21" s="18">
        <f>'7_Assumptions'!B25</f>
        <v>4000</v>
      </c>
      <c r="C21" s="9" t="s">
        <v>83</v>
      </c>
      <c r="D21" s="9" t="s">
        <v>86</v>
      </c>
    </row>
    <row r="22" spans="1:4" ht="30.95" customHeight="1" x14ac:dyDescent="0.25">
      <c r="A22" s="11" t="s">
        <v>87</v>
      </c>
      <c r="B22" s="18">
        <f>'7_Assumptions'!B26</f>
        <v>600</v>
      </c>
      <c r="C22" s="9" t="s">
        <v>83</v>
      </c>
    </row>
    <row r="23" spans="1:4" ht="30.95" customHeight="1" x14ac:dyDescent="0.25">
      <c r="A23" s="11" t="s">
        <v>88</v>
      </c>
      <c r="B23" s="23">
        <f>B20*B17/1000000</f>
        <v>0</v>
      </c>
    </row>
    <row r="24" spans="1:4" ht="30.95" customHeight="1" x14ac:dyDescent="0.25">
      <c r="A24" s="11" t="s">
        <v>89</v>
      </c>
      <c r="B24" s="23">
        <f>(B19-1)*B20*B18/1000000</f>
        <v>0</v>
      </c>
    </row>
    <row r="25" spans="1:4" ht="30.95" customHeight="1" x14ac:dyDescent="0.25">
      <c r="A25" s="11" t="s">
        <v>90</v>
      </c>
      <c r="B25" s="23">
        <f>B19*B21*B15/1000000</f>
        <v>3.5999999999999999E-3</v>
      </c>
    </row>
    <row r="26" spans="1:4" ht="30.95" customHeight="1" x14ac:dyDescent="0.25">
      <c r="A26" s="11" t="s">
        <v>91</v>
      </c>
      <c r="B26" s="23">
        <f>B19*B22*B16/1000000</f>
        <v>2.16E-3</v>
      </c>
    </row>
    <row r="27" spans="1:4" ht="30.95" customHeight="1" x14ac:dyDescent="0.25">
      <c r="A27" s="15" t="s">
        <v>92</v>
      </c>
      <c r="B27" s="24">
        <f>SUM(B23:B26)</f>
        <v>5.7599999999999995E-3</v>
      </c>
    </row>
    <row r="28" spans="1:4" ht="30.95" customHeight="1" x14ac:dyDescent="0.25">
      <c r="A28" s="11" t="s">
        <v>93</v>
      </c>
      <c r="B28" s="23">
        <f>B19*(B20+B21)*B15/1000000+B26</f>
        <v>5.7599999999999995E-3</v>
      </c>
    </row>
    <row r="29" spans="1:4" ht="30.95" customHeight="1" x14ac:dyDescent="0.25">
      <c r="A29" s="11" t="s">
        <v>94</v>
      </c>
      <c r="B29" s="25">
        <f>IF(B28=0,0,1-B27/B28)</f>
        <v>0</v>
      </c>
      <c r="D29" s="9" t="s">
        <v>95</v>
      </c>
    </row>
    <row r="30" spans="1:4" ht="30.95" customHeight="1" x14ac:dyDescent="0.25">
      <c r="A30" s="11" t="s">
        <v>96</v>
      </c>
      <c r="B30" s="22">
        <v>0</v>
      </c>
      <c r="D30" s="9" t="s">
        <v>97</v>
      </c>
    </row>
    <row r="31" spans="1:4" ht="30.95" customHeight="1" x14ac:dyDescent="0.25">
      <c r="A31" s="15" t="s">
        <v>98</v>
      </c>
      <c r="B31" s="24">
        <f>B27*(1-B30*0.5)</f>
        <v>5.7599999999999995E-3</v>
      </c>
    </row>
    <row r="32" spans="1:4" ht="30.95" customHeight="1" x14ac:dyDescent="0.25"/>
    <row r="33" spans="1:8" ht="30.95" customHeight="1" x14ac:dyDescent="0.25">
      <c r="A33" s="17" t="s">
        <v>99</v>
      </c>
      <c r="B33" s="2"/>
      <c r="C33" s="2"/>
      <c r="D33" s="2"/>
      <c r="E33" s="2"/>
      <c r="F33" s="2"/>
      <c r="G33" s="2"/>
      <c r="H33" s="2"/>
    </row>
    <row r="34" spans="1:8" ht="30.95" customHeight="1" x14ac:dyDescent="0.25">
      <c r="A34" s="11" t="s">
        <v>100</v>
      </c>
      <c r="B34" s="26">
        <v>0</v>
      </c>
      <c r="D34" s="9" t="s">
        <v>101</v>
      </c>
    </row>
    <row r="35" spans="1:8" ht="30.95" customHeight="1" x14ac:dyDescent="0.25">
      <c r="A35" s="11" t="s">
        <v>102</v>
      </c>
      <c r="B35" s="27">
        <v>0</v>
      </c>
      <c r="C35" s="9" t="s">
        <v>103</v>
      </c>
    </row>
    <row r="36" spans="1:8" ht="30.95" customHeight="1" x14ac:dyDescent="0.25">
      <c r="A36" s="11" t="s">
        <v>104</v>
      </c>
      <c r="B36" s="21">
        <v>0</v>
      </c>
      <c r="D36" s="9" t="s">
        <v>105</v>
      </c>
    </row>
    <row r="37" spans="1:8" ht="30.95" customHeight="1" x14ac:dyDescent="0.25">
      <c r="A37" s="11" t="s">
        <v>106</v>
      </c>
      <c r="B37" s="22">
        <v>0</v>
      </c>
      <c r="C37" s="9" t="s">
        <v>107</v>
      </c>
      <c r="D37" s="9" t="s">
        <v>108</v>
      </c>
    </row>
    <row r="38" spans="1:8" ht="30.95" customHeight="1" x14ac:dyDescent="0.25">
      <c r="A38" s="11" t="s">
        <v>109</v>
      </c>
      <c r="B38" s="23">
        <f>B34*B35+B36*B37/1000000</f>
        <v>0</v>
      </c>
    </row>
    <row r="39" spans="1:8" ht="30.95" customHeight="1" x14ac:dyDescent="0.25"/>
    <row r="40" spans="1:8" ht="30.95" customHeight="1" x14ac:dyDescent="0.25">
      <c r="A40" s="17" t="s">
        <v>110</v>
      </c>
      <c r="B40" s="2"/>
      <c r="C40" s="2"/>
      <c r="D40" s="2"/>
      <c r="E40" s="2"/>
      <c r="F40" s="2"/>
      <c r="G40" s="2"/>
      <c r="H40" s="2"/>
    </row>
    <row r="41" spans="1:8" ht="30.95" customHeight="1" x14ac:dyDescent="0.25">
      <c r="A41" s="11" t="s">
        <v>111</v>
      </c>
      <c r="B41" s="23">
        <f>'7_Assumptions'!B13/B9+'7_Assumptions'!B14+'7_Assumptions'!B16*'7_Assumptions'!B17/1000000</f>
        <v>3.5079999999999993E-2</v>
      </c>
      <c r="D41" s="9" t="s">
        <v>112</v>
      </c>
    </row>
    <row r="42" spans="1:8" ht="30.95" customHeight="1" x14ac:dyDescent="0.25">
      <c r="A42" s="11" t="s">
        <v>113</v>
      </c>
      <c r="B42" s="26">
        <v>0</v>
      </c>
    </row>
    <row r="43" spans="1:8" ht="30.95" customHeight="1" x14ac:dyDescent="0.25">
      <c r="A43" s="11" t="s">
        <v>114</v>
      </c>
      <c r="B43" s="23">
        <f>B41+B42*B35</f>
        <v>3.5079999999999993E-2</v>
      </c>
    </row>
    <row r="44" spans="1:8" ht="30.95" customHeight="1" x14ac:dyDescent="0.25"/>
    <row r="45" spans="1:8" ht="30.95" customHeight="1" x14ac:dyDescent="0.25">
      <c r="A45" s="17" t="s">
        <v>115</v>
      </c>
      <c r="B45" s="2"/>
      <c r="C45" s="2"/>
      <c r="D45" s="2"/>
      <c r="E45" s="2"/>
      <c r="F45" s="2"/>
      <c r="G45" s="2"/>
      <c r="H45" s="2"/>
    </row>
    <row r="46" spans="1:8" ht="30.95" customHeight="1" x14ac:dyDescent="0.25">
      <c r="A46" s="11" t="s">
        <v>116</v>
      </c>
      <c r="B46" s="25">
        <f>'7_Assumptions'!B27</f>
        <v>0.08</v>
      </c>
      <c r="D46" s="9" t="s">
        <v>117</v>
      </c>
    </row>
    <row r="47" spans="1:8" ht="30.95" customHeight="1" x14ac:dyDescent="0.25">
      <c r="A47" s="11" t="s">
        <v>118</v>
      </c>
      <c r="B47" s="23">
        <f>(B31+B38)*B46</f>
        <v>4.6079999999999998E-4</v>
      </c>
    </row>
    <row r="48" spans="1:8" ht="30.95" customHeight="1" x14ac:dyDescent="0.25"/>
    <row r="49" spans="1:8" ht="30.95" customHeight="1" x14ac:dyDescent="0.25">
      <c r="A49" s="17" t="s">
        <v>119</v>
      </c>
      <c r="B49" s="2"/>
      <c r="C49" s="2"/>
      <c r="D49" s="2"/>
      <c r="E49" s="2"/>
      <c r="F49" s="2"/>
      <c r="G49" s="2"/>
      <c r="H49" s="2"/>
    </row>
    <row r="50" spans="1:8" ht="30.95" customHeight="1" x14ac:dyDescent="0.25">
      <c r="A50" s="11" t="s">
        <v>120</v>
      </c>
      <c r="B50" s="20">
        <f>'7_Assumptions'!B11</f>
        <v>6</v>
      </c>
      <c r="D50" s="9" t="s">
        <v>121</v>
      </c>
    </row>
    <row r="51" spans="1:8" ht="30.95" customHeight="1" x14ac:dyDescent="0.25">
      <c r="A51" s="11" t="s">
        <v>122</v>
      </c>
      <c r="B51" s="25">
        <f>'7_Assumptions'!B28</f>
        <v>0.05</v>
      </c>
      <c r="D51" s="9" t="s">
        <v>123</v>
      </c>
    </row>
    <row r="52" spans="1:8" ht="30.95" customHeight="1" x14ac:dyDescent="0.25">
      <c r="A52" s="11" t="s">
        <v>124</v>
      </c>
      <c r="B52" s="28">
        <f>'7_Assumptions'!B29</f>
        <v>3</v>
      </c>
      <c r="C52" s="9" t="s">
        <v>103</v>
      </c>
    </row>
    <row r="53" spans="1:8" ht="30.95" customHeight="1" x14ac:dyDescent="0.25">
      <c r="A53" s="11" t="s">
        <v>125</v>
      </c>
      <c r="B53" s="27">
        <v>0</v>
      </c>
      <c r="C53" s="9" t="s">
        <v>103</v>
      </c>
    </row>
    <row r="54" spans="1:8" ht="30.95" customHeight="1" x14ac:dyDescent="0.25">
      <c r="A54" s="11" t="s">
        <v>126</v>
      </c>
      <c r="B54" s="20">
        <f>B9*B51*(B52/60)*B50</f>
        <v>15</v>
      </c>
    </row>
    <row r="55" spans="1:8" ht="30.95" customHeight="1" x14ac:dyDescent="0.25">
      <c r="A55" s="11" t="s">
        <v>127</v>
      </c>
      <c r="B55" s="20">
        <f>IF(B6="B",B12*(B53/60)*B50,0)</f>
        <v>0</v>
      </c>
      <c r="D55" s="9" t="s">
        <v>128</v>
      </c>
    </row>
    <row r="56" spans="1:8" ht="30.95" customHeight="1" x14ac:dyDescent="0.25">
      <c r="A56" s="15" t="s">
        <v>129</v>
      </c>
      <c r="B56" s="29">
        <f>B54+B55+B57</f>
        <v>25</v>
      </c>
    </row>
    <row r="57" spans="1:8" ht="30.95" customHeight="1" x14ac:dyDescent="0.25">
      <c r="A57" s="16" t="s">
        <v>130</v>
      </c>
      <c r="B57" s="30">
        <f>'7_Assumptions'!B15</f>
        <v>10</v>
      </c>
      <c r="C57" s="16" t="s">
        <v>131</v>
      </c>
      <c r="D57" s="16" t="s">
        <v>132</v>
      </c>
    </row>
    <row r="58" spans="1:8" ht="30.95" customHeight="1" x14ac:dyDescent="0.25">
      <c r="A58" s="17" t="s">
        <v>133</v>
      </c>
      <c r="B58" s="2"/>
      <c r="C58" s="2"/>
      <c r="D58" s="2"/>
      <c r="E58" s="2"/>
      <c r="F58" s="2"/>
      <c r="G58" s="2"/>
      <c r="H58" s="2"/>
    </row>
    <row r="59" spans="1:8" ht="30.95" customHeight="1" x14ac:dyDescent="0.25">
      <c r="A59" s="11" t="s">
        <v>134</v>
      </c>
      <c r="B59" s="20">
        <f>'7_Assumptions'!B23</f>
        <v>40</v>
      </c>
      <c r="D59" s="9" t="s">
        <v>135</v>
      </c>
    </row>
    <row r="60" spans="1:8" ht="30.95" customHeight="1" x14ac:dyDescent="0.25"/>
    <row r="61" spans="1:8" ht="30.95" customHeight="1" x14ac:dyDescent="0.25">
      <c r="A61" s="17" t="s">
        <v>136</v>
      </c>
      <c r="B61" s="2"/>
      <c r="C61" s="2"/>
      <c r="D61" s="2"/>
      <c r="E61" s="2"/>
      <c r="F61" s="2"/>
      <c r="G61" s="2"/>
      <c r="H61" s="2"/>
    </row>
    <row r="62" spans="1:8" ht="30.95" customHeight="1" x14ac:dyDescent="0.25">
      <c r="A62" s="11" t="s">
        <v>137</v>
      </c>
      <c r="B62" s="20">
        <f>B9*(B31+B38+B43+B47)</f>
        <v>41.300799999999988</v>
      </c>
    </row>
    <row r="63" spans="1:8" ht="30.95" customHeight="1" x14ac:dyDescent="0.25">
      <c r="A63" s="11" t="s">
        <v>138</v>
      </c>
      <c r="B63" s="20">
        <f>B56</f>
        <v>25</v>
      </c>
    </row>
    <row r="64" spans="1:8" ht="30.95" customHeight="1" x14ac:dyDescent="0.25">
      <c r="A64" s="11" t="s">
        <v>139</v>
      </c>
      <c r="B64" s="20">
        <f>B59</f>
        <v>40</v>
      </c>
    </row>
    <row r="65" spans="1:8" ht="30.95" customHeight="1" x14ac:dyDescent="0.25">
      <c r="A65" s="11" t="s">
        <v>140</v>
      </c>
      <c r="B65" s="20">
        <f>B62+B63+B64</f>
        <v>106.30079999999998</v>
      </c>
    </row>
    <row r="66" spans="1:8" ht="30.95" customHeight="1" x14ac:dyDescent="0.25">
      <c r="A66" s="15" t="s">
        <v>141</v>
      </c>
      <c r="B66" s="24">
        <f>IF(B11=0,0,(B62+B63)/B11)</f>
        <v>8.2875999999999977E-2</v>
      </c>
      <c r="C66" s="9" t="s">
        <v>142</v>
      </c>
      <c r="D66" s="9" t="s">
        <v>143</v>
      </c>
    </row>
    <row r="67" spans="1:8" ht="30.95" customHeight="1" x14ac:dyDescent="0.25">
      <c r="A67" s="15" t="s">
        <v>144</v>
      </c>
      <c r="B67" s="24">
        <f>IF(B11=0,0,B65/B11)</f>
        <v>0.13287599999999997</v>
      </c>
      <c r="C67" s="9" t="s">
        <v>142</v>
      </c>
    </row>
    <row r="68" spans="1:8" ht="30.95" customHeight="1" x14ac:dyDescent="0.25">
      <c r="A68" s="11" t="s">
        <v>145</v>
      </c>
      <c r="B68" s="18">
        <f>'7_Assumptions'!B50</f>
        <v>26100</v>
      </c>
      <c r="C68" s="9" t="s">
        <v>146</v>
      </c>
      <c r="D68" s="9" t="s">
        <v>147</v>
      </c>
    </row>
    <row r="69" spans="1:8" ht="30.95" customHeight="1" x14ac:dyDescent="0.25">
      <c r="A69" s="11" t="s">
        <v>148</v>
      </c>
      <c r="B69" s="31">
        <f>B66*B68</f>
        <v>2163.0635999999995</v>
      </c>
      <c r="C69" s="9" t="s">
        <v>149</v>
      </c>
    </row>
    <row r="70" spans="1:8" ht="30.95" customHeight="1" x14ac:dyDescent="0.25"/>
    <row r="71" spans="1:8" ht="30.95" customHeight="1" x14ac:dyDescent="0.25">
      <c r="A71" s="17" t="s">
        <v>150</v>
      </c>
      <c r="B71" s="2"/>
      <c r="C71" s="2"/>
      <c r="D71" s="2"/>
      <c r="E71" s="2"/>
      <c r="F71" s="2"/>
      <c r="G71" s="2"/>
      <c r="H71" s="2"/>
    </row>
    <row r="72" spans="1:8" ht="30.95" customHeight="1" x14ac:dyDescent="0.25">
      <c r="A72" s="11" t="s">
        <v>151</v>
      </c>
      <c r="B72" s="20">
        <f>B9*B31</f>
        <v>5.76</v>
      </c>
      <c r="C72" s="25">
        <f t="shared" ref="C72:C77" si="0">IF($B$65=0,0,B72/$B$65)</f>
        <v>5.4185857491194804E-2</v>
      </c>
    </row>
    <row r="73" spans="1:8" ht="30.95" customHeight="1" x14ac:dyDescent="0.25">
      <c r="A73" s="11" t="s">
        <v>152</v>
      </c>
      <c r="B73" s="20">
        <f>B9*B38</f>
        <v>0</v>
      </c>
      <c r="C73" s="25">
        <f t="shared" si="0"/>
        <v>0</v>
      </c>
    </row>
    <row r="74" spans="1:8" ht="30.95" customHeight="1" x14ac:dyDescent="0.25">
      <c r="A74" s="11" t="s">
        <v>153</v>
      </c>
      <c r="B74" s="20">
        <f>B9*B43</f>
        <v>35.079999999999991</v>
      </c>
      <c r="C74" s="25">
        <f t="shared" si="0"/>
        <v>0.33000692374845719</v>
      </c>
    </row>
    <row r="75" spans="1:8" ht="30.95" customHeight="1" x14ac:dyDescent="0.25">
      <c r="A75" s="11" t="s">
        <v>154</v>
      </c>
      <c r="B75" s="20">
        <f>B9*B47</f>
        <v>0.46079999999999999</v>
      </c>
      <c r="C75" s="25">
        <f t="shared" si="0"/>
        <v>4.3348685992955849E-3</v>
      </c>
    </row>
    <row r="76" spans="1:8" ht="30.95" customHeight="1" x14ac:dyDescent="0.25">
      <c r="A76" s="11" t="s">
        <v>36</v>
      </c>
      <c r="B76" s="20">
        <f>B56</f>
        <v>25</v>
      </c>
      <c r="C76" s="25">
        <f t="shared" si="0"/>
        <v>0.23518167313886634</v>
      </c>
    </row>
    <row r="77" spans="1:8" ht="30.95" customHeight="1" x14ac:dyDescent="0.25">
      <c r="A77" s="11" t="s">
        <v>155</v>
      </c>
      <c r="B77" s="20">
        <f>B59</f>
        <v>40</v>
      </c>
      <c r="C77" s="25">
        <f t="shared" si="0"/>
        <v>0.37629067702218616</v>
      </c>
    </row>
    <row r="78" spans="1:8" ht="48" customHeight="1" x14ac:dyDescent="0.25">
      <c r="A78" s="9" t="s">
        <v>156</v>
      </c>
    </row>
    <row r="79" spans="1:8" ht="15.75" customHeight="1" x14ac:dyDescent="0.25"/>
    <row r="80" spans="1:8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dataValidations count="1">
    <dataValidation type="list" allowBlank="1" sqref="B6" xr:uid="{00000000-0002-0000-0100-000000000000}">
      <formula1>"A,B"</formula1>
    </dataValidation>
  </dataValidations>
  <printOptions horizontalCentered="1"/>
  <pageMargins left="0.75" right="0.75" top="1" bottom="1" header="0" footer="0"/>
  <pageSetup paperSize="9" fitToHeight="0" orientation="landscape"/>
  <headerFooter>
    <oddFooter>&amp;CCampus 24/7 · Day22 · Giả định / chưa pilot&amp;RTrang &amp;P / &amp;N</oddFooter>
  </headerFooter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H1000"/>
  <sheetViews>
    <sheetView showGridLines="0" workbookViewId="0">
      <pane xSplit="1" ySplit="3" topLeftCell="B4" activePane="bottomRight" state="frozen"/>
      <selection pane="topRight"/>
      <selection pane="bottomLeft"/>
      <selection pane="bottomRight"/>
    </sheetView>
  </sheetViews>
  <sheetFormatPr defaultColWidth="14.42578125" defaultRowHeight="15" customHeight="1" x14ac:dyDescent="0.25"/>
  <cols>
    <col min="1" max="1" width="55" customWidth="1"/>
    <col min="2" max="2" width="57" customWidth="1"/>
    <col min="3" max="3" width="24" customWidth="1"/>
    <col min="4" max="4" width="70" customWidth="1"/>
    <col min="5" max="8" width="15" customWidth="1"/>
    <col min="9" max="26" width="8.7109375" customWidth="1"/>
  </cols>
  <sheetData>
    <row r="1" spans="1:8" ht="42.95" customHeight="1" x14ac:dyDescent="0.25">
      <c r="A1" s="7" t="s">
        <v>157</v>
      </c>
      <c r="B1" s="8"/>
      <c r="C1" s="8"/>
      <c r="D1" s="8"/>
      <c r="E1" s="8"/>
      <c r="F1" s="8"/>
      <c r="G1" s="8"/>
      <c r="H1" s="8"/>
    </row>
    <row r="2" spans="1:8" ht="30.95" customHeight="1" x14ac:dyDescent="0.25">
      <c r="A2" s="9" t="s">
        <v>158</v>
      </c>
    </row>
    <row r="3" spans="1:8" ht="30.95" customHeight="1" x14ac:dyDescent="0.25"/>
    <row r="4" spans="1:8" ht="30.95" customHeight="1" x14ac:dyDescent="0.25">
      <c r="A4" s="17" t="s">
        <v>159</v>
      </c>
      <c r="B4" s="2"/>
      <c r="C4" s="2"/>
      <c r="D4" s="2"/>
      <c r="E4" s="2"/>
      <c r="F4" s="2"/>
      <c r="G4" s="2"/>
      <c r="H4" s="2"/>
    </row>
    <row r="5" spans="1:8" ht="30.95" customHeight="1" x14ac:dyDescent="0.25">
      <c r="A5" s="11" t="s">
        <v>160</v>
      </c>
      <c r="B5" s="23">
        <f>'1_Cost_Job'!B66</f>
        <v>8.2875999999999977E-2</v>
      </c>
      <c r="C5" s="9" t="s">
        <v>142</v>
      </c>
    </row>
    <row r="6" spans="1:8" ht="30.95" customHeight="1" x14ac:dyDescent="0.25">
      <c r="A6" s="11" t="s">
        <v>161</v>
      </c>
      <c r="B6" s="27">
        <v>3</v>
      </c>
      <c r="C6" s="9" t="s">
        <v>162</v>
      </c>
      <c r="D6" s="9" t="s">
        <v>163</v>
      </c>
    </row>
    <row r="7" spans="1:8" ht="30.95" customHeight="1" x14ac:dyDescent="0.25">
      <c r="A7" s="15" t="s">
        <v>164</v>
      </c>
      <c r="B7" s="24">
        <f>B5*B6</f>
        <v>0.24862799999999993</v>
      </c>
      <c r="C7" s="9" t="s">
        <v>142</v>
      </c>
    </row>
    <row r="8" spans="1:8" ht="30.95" customHeight="1" x14ac:dyDescent="0.25"/>
    <row r="9" spans="1:8" ht="30.95" customHeight="1" x14ac:dyDescent="0.25">
      <c r="A9" s="17" t="s">
        <v>165</v>
      </c>
      <c r="B9" s="2"/>
      <c r="C9" s="2"/>
      <c r="D9" s="2"/>
      <c r="E9" s="2"/>
      <c r="F9" s="2"/>
      <c r="G9" s="2"/>
      <c r="H9" s="2"/>
    </row>
    <row r="10" spans="1:8" ht="30.95" customHeight="1" x14ac:dyDescent="0.25">
      <c r="A10" s="11" t="s">
        <v>166</v>
      </c>
      <c r="B10" s="32">
        <f>'7_Assumptions'!B22</f>
        <v>960</v>
      </c>
      <c r="D10" s="9" t="s">
        <v>167</v>
      </c>
    </row>
    <row r="11" spans="1:8" ht="30.95" customHeight="1" x14ac:dyDescent="0.25">
      <c r="A11" s="11" t="s">
        <v>168</v>
      </c>
      <c r="B11" s="18">
        <f>'1_Cost_Job'!B11</f>
        <v>800</v>
      </c>
      <c r="C11" s="9" t="s">
        <v>65</v>
      </c>
    </row>
    <row r="12" spans="1:8" ht="30.95" customHeight="1" x14ac:dyDescent="0.25">
      <c r="A12" s="11" t="s">
        <v>169</v>
      </c>
      <c r="B12" s="23">
        <f>IF(B11=0,0,B10*0.1/B11)</f>
        <v>0.12</v>
      </c>
      <c r="C12" s="9" t="s">
        <v>142</v>
      </c>
    </row>
    <row r="13" spans="1:8" ht="30.95" customHeight="1" x14ac:dyDescent="0.25">
      <c r="A13" s="11" t="s">
        <v>170</v>
      </c>
      <c r="B13" s="23">
        <f>IF(B11=0,0,B10*0.25/B11)</f>
        <v>0.3</v>
      </c>
      <c r="C13" s="9" t="s">
        <v>142</v>
      </c>
    </row>
    <row r="14" spans="1:8" ht="30.95" customHeight="1" x14ac:dyDescent="0.25">
      <c r="A14" s="11" t="s">
        <v>171</v>
      </c>
      <c r="B14" s="32">
        <f>'7_Assumptions'!B11*'7_Assumptions'!B12</f>
        <v>960</v>
      </c>
      <c r="D14" s="9" t="s">
        <v>172</v>
      </c>
    </row>
    <row r="15" spans="1:8" ht="30.95" customHeight="1" x14ac:dyDescent="0.25">
      <c r="A15" s="11" t="s">
        <v>173</v>
      </c>
      <c r="B15" s="23">
        <f>IF(B11=0,0,B14*0.5/B11)</f>
        <v>0.6</v>
      </c>
      <c r="C15" s="9" t="s">
        <v>142</v>
      </c>
    </row>
    <row r="16" spans="1:8" ht="30.95" customHeight="1" x14ac:dyDescent="0.25">
      <c r="A16" s="11" t="s">
        <v>174</v>
      </c>
      <c r="B16" s="23">
        <f>IF(B11=0,0,B14*0.7/B11)</f>
        <v>0.84</v>
      </c>
      <c r="C16" s="9" t="s">
        <v>142</v>
      </c>
    </row>
    <row r="17" spans="1:8" ht="30.95" customHeight="1" x14ac:dyDescent="0.25"/>
    <row r="18" spans="1:8" ht="30.95" customHeight="1" x14ac:dyDescent="0.25">
      <c r="A18" s="17" t="s">
        <v>175</v>
      </c>
      <c r="B18" s="2"/>
      <c r="C18" s="2"/>
      <c r="D18" s="2"/>
      <c r="E18" s="2"/>
      <c r="F18" s="2"/>
      <c r="G18" s="2"/>
      <c r="H18" s="2"/>
    </row>
    <row r="19" spans="1:8" ht="48" customHeight="1" x14ac:dyDescent="0.25">
      <c r="A19" s="11" t="s">
        <v>176</v>
      </c>
      <c r="B19" s="23">
        <f>'7_Assumptions'!B8+'7_Assumptions'!B7/B11</f>
        <v>0.27500000000000002</v>
      </c>
      <c r="C19" s="9" t="s">
        <v>142</v>
      </c>
      <c r="D19" s="9" t="s">
        <v>177</v>
      </c>
    </row>
    <row r="20" spans="1:8" ht="30.95" customHeight="1" x14ac:dyDescent="0.25">
      <c r="A20" s="11" t="s">
        <v>178</v>
      </c>
      <c r="B20" s="33">
        <f>IF(B5=0,0,B19/B5)</f>
        <v>3.3182103383367934</v>
      </c>
    </row>
    <row r="21" spans="1:8" ht="30.95" customHeight="1" x14ac:dyDescent="0.25">
      <c r="A21" s="15" t="s">
        <v>179</v>
      </c>
      <c r="B21" s="34">
        <f>IF(B19=0,0,(B19-B5)/B19)</f>
        <v>0.69863272727272741</v>
      </c>
    </row>
    <row r="22" spans="1:8" ht="30.95" customHeight="1" x14ac:dyDescent="0.25">
      <c r="A22" s="11" t="s">
        <v>180</v>
      </c>
      <c r="B22" s="35" t="str">
        <f>IF(B20&gt;=B6,"OK — ĐẠT","KHÔNG ĐẠT — quay lại tab 1")</f>
        <v>OK — ĐẠT</v>
      </c>
    </row>
    <row r="23" spans="1:8" ht="30.95" customHeight="1" x14ac:dyDescent="0.25">
      <c r="A23" s="11" t="s">
        <v>181</v>
      </c>
      <c r="B23" s="35" t="str">
        <f>IF(B21&gt;=0.6,"OK — AN TOÀN (≥60%)",IF(B21&gt;=0.5,"CẢNH BÁO (50–60%)","NGUY HIỂM (&lt;50%)"))</f>
        <v>OK — AN TOÀN (≥60%)</v>
      </c>
    </row>
    <row r="24" spans="1:8" ht="30.95" customHeight="1" x14ac:dyDescent="0.25">
      <c r="A24" s="11" t="s">
        <v>182</v>
      </c>
      <c r="B24" s="35" t="str">
        <f>IF(B21&gt;0.85,"NGHI NGỜ — nhiều khả năng bạn quên một khoản chi phí","OK")</f>
        <v>OK</v>
      </c>
    </row>
    <row r="25" spans="1:8" ht="30.95" customHeight="1" x14ac:dyDescent="0.25">
      <c r="A25" s="11" t="s">
        <v>183</v>
      </c>
      <c r="B25" s="35" t="str">
        <f>IF(AND(B19&gt;=B7,B19&lt;=MAX(B13,B16)),"OK — trong vùng giá bán","XEM LẠI — ngoài vùng giá sàn/trần")</f>
        <v>OK — trong vùng giá bán</v>
      </c>
    </row>
    <row r="26" spans="1:8" ht="30.95" customHeight="1" x14ac:dyDescent="0.25"/>
    <row r="27" spans="1:8" ht="30.95" customHeight="1" x14ac:dyDescent="0.25">
      <c r="A27" s="17" t="s">
        <v>184</v>
      </c>
      <c r="B27" s="2"/>
      <c r="C27" s="2"/>
      <c r="D27" s="2"/>
      <c r="E27" s="2"/>
      <c r="F27" s="2"/>
      <c r="G27" s="2"/>
      <c r="H27" s="2"/>
    </row>
    <row r="28" spans="1:8" ht="48" customHeight="1" x14ac:dyDescent="0.25">
      <c r="A28" s="9" t="s">
        <v>185</v>
      </c>
    </row>
    <row r="29" spans="1:8" ht="30.95" customHeight="1" x14ac:dyDescent="0.25">
      <c r="A29" s="11" t="s">
        <v>186</v>
      </c>
      <c r="B29" s="23">
        <f>'1_Cost_Job'!B31+'1_Cost_Job'!B38+'1_Cost_Job'!B43+'1_Cost_Job'!B47</f>
        <v>4.1300799999999992E-2</v>
      </c>
    </row>
    <row r="30" spans="1:8" ht="30.95" customHeight="1" x14ac:dyDescent="0.25">
      <c r="A30" s="11" t="s">
        <v>187</v>
      </c>
      <c r="B30" s="23">
        <f>'1_Cost_Job'!B51*('1_Cost_Job'!B52/60)*'1_Cost_Job'!B50</f>
        <v>1.5000000000000003E-2</v>
      </c>
    </row>
    <row r="31" spans="1:8" ht="30.95" customHeight="1" x14ac:dyDescent="0.25">
      <c r="A31" s="11" t="s">
        <v>188</v>
      </c>
      <c r="B31" s="23">
        <f>IF('1_Cost_Job'!B6="B",('1_Cost_Job'!B53/60)*'1_Cost_Job'!B50,0)</f>
        <v>0</v>
      </c>
    </row>
    <row r="32" spans="1:8" ht="30.95" customHeight="1" x14ac:dyDescent="0.25">
      <c r="A32" s="11" t="s">
        <v>189</v>
      </c>
      <c r="B32" s="36">
        <v>0.6</v>
      </c>
    </row>
    <row r="33" spans="1:8" ht="48" customHeight="1" x14ac:dyDescent="0.25">
      <c r="A33" s="15" t="s">
        <v>190</v>
      </c>
      <c r="B33" s="34">
        <f>MAX(0,('1_Cost_Job'!B9*(B29+B30+B31)+'1_Cost_Job'!B57-(1-B32)*'7_Assumptions'!B7)/('1_Cost_Job'!B9*((1-B32)*'7_Assumptions'!B8+B31)))</f>
        <v>0.43834666666666661</v>
      </c>
      <c r="D33" s="9" t="s">
        <v>191</v>
      </c>
    </row>
    <row r="34" spans="1:8" ht="30.95" customHeight="1" x14ac:dyDescent="0.25">
      <c r="A34" s="11" t="s">
        <v>192</v>
      </c>
      <c r="B34" s="19">
        <f>'1_Cost_Job'!B10</f>
        <v>0.8</v>
      </c>
    </row>
    <row r="35" spans="1:8" ht="30.95" customHeight="1" x14ac:dyDescent="0.25">
      <c r="A35" s="11" t="s">
        <v>193</v>
      </c>
      <c r="B35" s="35" t="str">
        <f>IF(B34&gt;=B33,"ĐẠT TRONG GIẢ ĐỊNH — cần đo pilot","CHƯA ĐẠT TRONG GIẢ ĐỊNH — sửa mô hình")</f>
        <v>ĐẠT TRONG GIẢ ĐỊNH — cần đo pilot</v>
      </c>
    </row>
    <row r="36" spans="1:8" ht="30.95" customHeight="1" x14ac:dyDescent="0.25"/>
    <row r="37" spans="1:8" ht="30.95" customHeight="1" x14ac:dyDescent="0.25">
      <c r="A37" s="17" t="s">
        <v>194</v>
      </c>
      <c r="B37" s="2"/>
      <c r="C37" s="2"/>
      <c r="D37" s="2"/>
      <c r="E37" s="2"/>
      <c r="F37" s="2"/>
      <c r="G37" s="2"/>
      <c r="H37" s="2"/>
    </row>
    <row r="38" spans="1:8" ht="30.95" customHeight="1" x14ac:dyDescent="0.25">
      <c r="A38" s="37" t="s">
        <v>42</v>
      </c>
      <c r="B38" s="37" t="s">
        <v>195</v>
      </c>
      <c r="C38" s="37" t="s">
        <v>196</v>
      </c>
      <c r="D38" s="37" t="s">
        <v>197</v>
      </c>
    </row>
    <row r="39" spans="1:8" ht="30.95" customHeight="1" x14ac:dyDescent="0.25">
      <c r="A39" s="38">
        <v>0.5</v>
      </c>
      <c r="B39" s="23">
        <f>($B$29+$B$30+$B$31*(1-A39)+'1_Cost_Job'!$B$57/'1_Cost_Job'!$B$9)/A39</f>
        <v>0.13260159999999999</v>
      </c>
      <c r="C39" s="25">
        <f>1-B39/('7_Assumptions'!$B$8+'7_Assumptions'!$B$7/('1_Cost_Job'!$B$9*A39))</f>
        <v>0.62113828571428575</v>
      </c>
      <c r="D39" s="39" t="str">
        <f t="shared" ref="D39:D44" si="0">IF(C39&gt;=0.6,"An toàn",IF(C39&gt;=0.5,"Cảnh báo","Nguy hiểm"))</f>
        <v>An toàn</v>
      </c>
    </row>
    <row r="40" spans="1:8" ht="30.95" customHeight="1" x14ac:dyDescent="0.25">
      <c r="A40" s="38">
        <v>0.6</v>
      </c>
      <c r="B40" s="23">
        <f>($B$29+$B$30+$B$31*(1-A40)+'1_Cost_Job'!$B$57/'1_Cost_Job'!$B$9)/A40</f>
        <v>0.11050133333333333</v>
      </c>
      <c r="C40" s="25">
        <f>1-B40/('7_Assumptions'!$B$8+'7_Assumptions'!$B$7/('1_Cost_Job'!$B$9*A40))</f>
        <v>0.65104842105263161</v>
      </c>
      <c r="D40" s="39" t="str">
        <f t="shared" si="0"/>
        <v>An toàn</v>
      </c>
    </row>
    <row r="41" spans="1:8" ht="30.95" customHeight="1" x14ac:dyDescent="0.25">
      <c r="A41" s="38">
        <v>0.7</v>
      </c>
      <c r="B41" s="23">
        <f>($B$29+$B$30+$B$31*(1-A41)+'1_Cost_Job'!$B$57/'1_Cost_Job'!$B$9)/A41</f>
        <v>9.4715428571428562E-2</v>
      </c>
      <c r="C41" s="25">
        <f>1-B41/('7_Assumptions'!$B$8+'7_Assumptions'!$B$7/('1_Cost_Job'!$B$9*A41))</f>
        <v>0.6765814634146341</v>
      </c>
      <c r="D41" s="39" t="str">
        <f t="shared" si="0"/>
        <v>An toàn</v>
      </c>
    </row>
    <row r="42" spans="1:8" ht="30.95" customHeight="1" x14ac:dyDescent="0.25">
      <c r="A42" s="38">
        <v>0.8</v>
      </c>
      <c r="B42" s="23">
        <f>($B$29+$B$30+$B$31*(1-A42)+'1_Cost_Job'!$B$57/'1_Cost_Job'!$B$9)/A42</f>
        <v>8.2875999999999991E-2</v>
      </c>
      <c r="C42" s="25">
        <f>1-B42/('7_Assumptions'!$B$8+'7_Assumptions'!$B$7/('1_Cost_Job'!$B$9*A42))</f>
        <v>0.69863272727272729</v>
      </c>
      <c r="D42" s="39" t="str">
        <f t="shared" si="0"/>
        <v>An toàn</v>
      </c>
    </row>
    <row r="43" spans="1:8" ht="30.95" customHeight="1" x14ac:dyDescent="0.25">
      <c r="A43" s="38">
        <v>0.9</v>
      </c>
      <c r="B43" s="23">
        <f>($B$29+$B$30+$B$31*(1-A43)+'1_Cost_Job'!$B$57/'1_Cost_Job'!$B$9)/A43</f>
        <v>7.3667555555555542E-2</v>
      </c>
      <c r="C43" s="25">
        <f>1-B43/('7_Assumptions'!$B$8+'7_Assumptions'!$B$7/('1_Cost_Job'!$B$9*A43))</f>
        <v>0.71786893617021286</v>
      </c>
      <c r="D43" s="39" t="str">
        <f t="shared" si="0"/>
        <v>An toàn</v>
      </c>
    </row>
    <row r="44" spans="1:8" ht="30.95" customHeight="1" x14ac:dyDescent="0.25">
      <c r="A44" s="38">
        <v>0.95</v>
      </c>
      <c r="B44" s="23">
        <f>($B$29+$B$30+$B$31*(1-A44)+'1_Cost_Job'!$B$57/'1_Cost_Job'!$B$9)/A44</f>
        <v>6.9790315789473686E-2</v>
      </c>
      <c r="C44" s="25">
        <f>1-B44/('7_Assumptions'!$B$8+'7_Assumptions'!$B$7/('1_Cost_Job'!$B$9*A44))</f>
        <v>0.72659463917525779</v>
      </c>
      <c r="D44" s="39" t="str">
        <f t="shared" si="0"/>
        <v>An toàn</v>
      </c>
    </row>
    <row r="45" spans="1:8" ht="30.95" customHeight="1" x14ac:dyDescent="0.25"/>
    <row r="46" spans="1:8" ht="48" customHeight="1" x14ac:dyDescent="0.25">
      <c r="A46" s="9" t="s">
        <v>198</v>
      </c>
    </row>
    <row r="47" spans="1:8" ht="30.95" customHeight="1" x14ac:dyDescent="0.25"/>
    <row r="48" spans="1:8" ht="30.95" customHeight="1" x14ac:dyDescent="0.25">
      <c r="A48" s="17" t="s">
        <v>199</v>
      </c>
      <c r="B48" s="2"/>
      <c r="C48" s="2"/>
      <c r="D48" s="2"/>
      <c r="E48" s="2"/>
      <c r="F48" s="2"/>
      <c r="G48" s="2"/>
      <c r="H48" s="2"/>
    </row>
    <row r="49" spans="1:4" ht="30.95" customHeight="1" x14ac:dyDescent="0.25">
      <c r="A49" s="15" t="s">
        <v>195</v>
      </c>
      <c r="B49" s="24">
        <f>B5</f>
        <v>8.2875999999999977E-2</v>
      </c>
    </row>
    <row r="50" spans="1:4" ht="30.95" customHeight="1" x14ac:dyDescent="0.25">
      <c r="A50" s="15" t="s">
        <v>200</v>
      </c>
      <c r="B50" s="24">
        <f>B7</f>
        <v>0.24862799999999993</v>
      </c>
    </row>
    <row r="51" spans="1:4" ht="30.95" customHeight="1" x14ac:dyDescent="0.25">
      <c r="A51" s="15" t="s">
        <v>201</v>
      </c>
      <c r="B51" s="24">
        <f>B19</f>
        <v>0.27500000000000002</v>
      </c>
    </row>
    <row r="52" spans="1:4" ht="30.95" customHeight="1" x14ac:dyDescent="0.25">
      <c r="A52" s="15" t="s">
        <v>196</v>
      </c>
      <c r="B52" s="40">
        <f>B21</f>
        <v>0.69863272727272741</v>
      </c>
    </row>
    <row r="53" spans="1:4" ht="30.95" customHeight="1" x14ac:dyDescent="0.25">
      <c r="A53" s="15" t="s">
        <v>202</v>
      </c>
      <c r="B53" s="40">
        <f>B33</f>
        <v>0.43834666666666661</v>
      </c>
    </row>
    <row r="54" spans="1:4" ht="30.95" customHeight="1" x14ac:dyDescent="0.25"/>
    <row r="55" spans="1:4" ht="30.95" customHeight="1" x14ac:dyDescent="0.25">
      <c r="A55" s="16" t="s">
        <v>203</v>
      </c>
    </row>
    <row r="56" spans="1:4" ht="30.95" customHeight="1" x14ac:dyDescent="0.25">
      <c r="A56" s="16" t="s">
        <v>204</v>
      </c>
      <c r="B56" s="30">
        <f>'7_Assumptions'!B7</f>
        <v>100</v>
      </c>
      <c r="C56" s="16" t="s">
        <v>131</v>
      </c>
    </row>
    <row r="57" spans="1:4" ht="30.95" customHeight="1" x14ac:dyDescent="0.25">
      <c r="A57" s="16" t="s">
        <v>205</v>
      </c>
      <c r="B57" s="30">
        <f>'7_Assumptions'!B8</f>
        <v>0.15</v>
      </c>
      <c r="C57" s="16" t="s">
        <v>206</v>
      </c>
    </row>
    <row r="58" spans="1:4" ht="30.95" customHeight="1" x14ac:dyDescent="0.25">
      <c r="A58" s="16" t="s">
        <v>207</v>
      </c>
      <c r="B58" s="30">
        <f>B56+B57*B11</f>
        <v>220</v>
      </c>
      <c r="C58" s="16" t="s">
        <v>131</v>
      </c>
    </row>
    <row r="59" spans="1:4" ht="30.95" customHeight="1" x14ac:dyDescent="0.25">
      <c r="A59" s="16" t="s">
        <v>208</v>
      </c>
      <c r="B59" s="30">
        <f>'1_Cost_Job'!B62+'1_Cost_Job'!B63</f>
        <v>66.300799999999981</v>
      </c>
      <c r="C59" s="16" t="s">
        <v>131</v>
      </c>
    </row>
    <row r="60" spans="1:4" ht="30.95" customHeight="1" x14ac:dyDescent="0.25">
      <c r="A60" s="16" t="s">
        <v>209</v>
      </c>
      <c r="B60" s="30">
        <f>B58-B59</f>
        <v>153.69920000000002</v>
      </c>
      <c r="C60" s="16" t="s">
        <v>131</v>
      </c>
    </row>
    <row r="61" spans="1:4" ht="30.95" customHeight="1" x14ac:dyDescent="0.25">
      <c r="A61" s="16" t="s">
        <v>210</v>
      </c>
      <c r="B61" s="41">
        <f>1-'1_Cost_Job'!B65/B58</f>
        <v>0.51681454545454553</v>
      </c>
      <c r="C61" s="16" t="s">
        <v>211</v>
      </c>
      <c r="D61" s="16" t="s">
        <v>212</v>
      </c>
    </row>
    <row r="62" spans="1:4" ht="30.95" customHeight="1" x14ac:dyDescent="0.25">
      <c r="A62" s="16" t="s">
        <v>213</v>
      </c>
      <c r="B62" s="30">
        <f>'7_Assumptions'!B22</f>
        <v>960</v>
      </c>
      <c r="C62" s="16" t="s">
        <v>131</v>
      </c>
      <c r="D62" s="16" t="s">
        <v>214</v>
      </c>
    </row>
    <row r="63" spans="1:4" ht="30.95" customHeight="1" x14ac:dyDescent="0.25">
      <c r="A63" s="16" t="s">
        <v>215</v>
      </c>
      <c r="B63" s="41">
        <f>B58/B62</f>
        <v>0.22916666666666666</v>
      </c>
      <c r="C63" s="16" t="s">
        <v>211</v>
      </c>
    </row>
    <row r="64" spans="1:4" ht="30.95" customHeight="1" x14ac:dyDescent="0.25">
      <c r="A64" s="16" t="s">
        <v>216</v>
      </c>
      <c r="B64" s="41">
        <f>MAX(0,('1_Cost_Job'!B9*(B29+B30+B31)+'1_Cost_Job'!B57-0.5*'7_Assumptions'!B7)/('1_Cost_Job'!B9*(0.5*'7_Assumptions'!B8+B31)))</f>
        <v>0.21734399999999993</v>
      </c>
      <c r="C64" s="16" t="s">
        <v>211</v>
      </c>
    </row>
    <row r="65" spans="1:3" ht="30.95" customHeight="1" x14ac:dyDescent="0.25">
      <c r="A65" s="16" t="s">
        <v>217</v>
      </c>
      <c r="B65" s="41">
        <f>MAX(0,('1_Cost_Job'!B9*(B29+B30+B31)+'1_Cost_Job'!B57+'1_Cost_Job'!B59-'7_Assumptions'!B7)/('1_Cost_Job'!B9*('7_Assumptions'!B8+B31)))</f>
        <v>4.2005333333333304E-2</v>
      </c>
      <c r="C65" s="16" t="s">
        <v>211</v>
      </c>
    </row>
    <row r="66" spans="1:3" ht="15.75" customHeight="1" x14ac:dyDescent="0.25"/>
    <row r="67" spans="1:3" ht="15.75" customHeight="1" x14ac:dyDescent="0.25"/>
    <row r="68" spans="1:3" ht="15.75" customHeight="1" x14ac:dyDescent="0.25"/>
    <row r="69" spans="1:3" ht="15.75" customHeight="1" x14ac:dyDescent="0.25"/>
    <row r="70" spans="1:3" ht="15.75" customHeight="1" x14ac:dyDescent="0.25"/>
    <row r="71" spans="1:3" ht="15.75" customHeight="1" x14ac:dyDescent="0.25"/>
    <row r="72" spans="1:3" ht="15.75" customHeight="1" x14ac:dyDescent="0.25"/>
    <row r="73" spans="1:3" ht="15.75" customHeight="1" x14ac:dyDescent="0.25"/>
    <row r="74" spans="1:3" ht="15.75" customHeight="1" x14ac:dyDescent="0.25"/>
    <row r="75" spans="1:3" ht="15.75" customHeight="1" x14ac:dyDescent="0.25"/>
    <row r="76" spans="1:3" ht="15.75" customHeight="1" x14ac:dyDescent="0.25"/>
    <row r="77" spans="1:3" ht="15.75" customHeight="1" x14ac:dyDescent="0.25"/>
    <row r="78" spans="1:3" ht="15.75" customHeight="1" x14ac:dyDescent="0.25"/>
    <row r="79" spans="1:3" ht="15.75" customHeight="1" x14ac:dyDescent="0.25"/>
    <row r="80" spans="1:3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rintOptions horizontalCentered="1"/>
  <pageMargins left="0.75" right="0.75" top="1" bottom="1" header="0" footer="0"/>
  <pageSetup paperSize="9" fitToHeight="0" orientation="landscape"/>
  <headerFooter>
    <oddFooter>&amp;CCampus 24/7 · Day22 · Giả định / chưa pilot&amp;RTrang &amp;P / &amp;N</oddFooter>
  </headerFooter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H1000"/>
  <sheetViews>
    <sheetView showGridLines="0" workbookViewId="0">
      <pane xSplit="1" ySplit="3" topLeftCell="B4" activePane="bottomRight" state="frozen"/>
      <selection pane="topRight"/>
      <selection pane="bottomLeft"/>
      <selection pane="bottomRight"/>
    </sheetView>
  </sheetViews>
  <sheetFormatPr defaultColWidth="14.42578125" defaultRowHeight="15" customHeight="1" x14ac:dyDescent="0.25"/>
  <cols>
    <col min="1" max="1" width="55" customWidth="1"/>
    <col min="2" max="2" width="57" customWidth="1"/>
    <col min="3" max="3" width="24" customWidth="1"/>
    <col min="4" max="4" width="70" customWidth="1"/>
    <col min="5" max="8" width="15" customWidth="1"/>
    <col min="9" max="26" width="8.7109375" customWidth="1"/>
  </cols>
  <sheetData>
    <row r="1" spans="1:8" ht="42.95" customHeight="1" x14ac:dyDescent="0.25">
      <c r="A1" s="7" t="s">
        <v>218</v>
      </c>
      <c r="B1" s="8"/>
      <c r="C1" s="8"/>
      <c r="D1" s="8"/>
      <c r="E1" s="8"/>
      <c r="F1" s="8"/>
      <c r="G1" s="8"/>
      <c r="H1" s="8"/>
    </row>
    <row r="2" spans="1:8" ht="30.95" customHeight="1" x14ac:dyDescent="0.25">
      <c r="A2" s="9" t="s">
        <v>219</v>
      </c>
    </row>
    <row r="3" spans="1:8" ht="30.95" customHeight="1" x14ac:dyDescent="0.25"/>
    <row r="4" spans="1:8" ht="30.95" customHeight="1" x14ac:dyDescent="0.25">
      <c r="A4" s="17" t="s">
        <v>220</v>
      </c>
      <c r="B4" s="2"/>
      <c r="C4" s="2"/>
      <c r="D4" s="2"/>
      <c r="E4" s="2"/>
      <c r="F4" s="2"/>
      <c r="G4" s="2"/>
      <c r="H4" s="2"/>
    </row>
    <row r="5" spans="1:8" ht="30.95" customHeight="1" x14ac:dyDescent="0.25">
      <c r="A5" s="11" t="s">
        <v>221</v>
      </c>
      <c r="B5" s="4">
        <v>1</v>
      </c>
    </row>
    <row r="6" spans="1:8" ht="30.95" customHeight="1" x14ac:dyDescent="0.25">
      <c r="A6" s="11" t="s">
        <v>222</v>
      </c>
      <c r="B6" s="4">
        <v>0</v>
      </c>
    </row>
    <row r="7" spans="1:8" ht="30.95" customHeight="1" x14ac:dyDescent="0.25">
      <c r="A7" s="11" t="s">
        <v>223</v>
      </c>
      <c r="B7" s="4">
        <v>0</v>
      </c>
    </row>
    <row r="8" spans="1:8" ht="30.95" customHeight="1" x14ac:dyDescent="0.25">
      <c r="A8" s="11" t="s">
        <v>224</v>
      </c>
      <c r="B8" s="4">
        <v>1</v>
      </c>
    </row>
    <row r="9" spans="1:8" ht="30.95" customHeight="1" x14ac:dyDescent="0.25">
      <c r="A9" s="11" t="s">
        <v>225</v>
      </c>
      <c r="B9" s="4">
        <v>1</v>
      </c>
    </row>
    <row r="10" spans="1:8" ht="30.95" customHeight="1" x14ac:dyDescent="0.25">
      <c r="A10" s="15" t="s">
        <v>226</v>
      </c>
      <c r="B10" s="42">
        <f>SUM(B5:B9)</f>
        <v>3</v>
      </c>
    </row>
    <row r="11" spans="1:8" ht="30.95" customHeight="1" x14ac:dyDescent="0.25"/>
    <row r="12" spans="1:8" ht="30.95" customHeight="1" x14ac:dyDescent="0.25">
      <c r="A12" s="17" t="s">
        <v>227</v>
      </c>
      <c r="B12" s="2"/>
      <c r="C12" s="2"/>
      <c r="D12" s="2"/>
      <c r="E12" s="2"/>
      <c r="F12" s="2"/>
      <c r="G12" s="2"/>
      <c r="H12" s="2"/>
    </row>
    <row r="13" spans="1:8" ht="30.95" customHeight="1" x14ac:dyDescent="0.25">
      <c r="A13" s="11" t="s">
        <v>228</v>
      </c>
      <c r="B13" s="4">
        <v>0</v>
      </c>
    </row>
    <row r="14" spans="1:8" ht="30.95" customHeight="1" x14ac:dyDescent="0.25">
      <c r="A14" s="11" t="s">
        <v>229</v>
      </c>
      <c r="B14" s="4">
        <v>1</v>
      </c>
    </row>
    <row r="15" spans="1:8" ht="30.95" customHeight="1" x14ac:dyDescent="0.25">
      <c r="A15" s="11" t="s">
        <v>230</v>
      </c>
      <c r="B15" s="4">
        <v>1</v>
      </c>
    </row>
    <row r="16" spans="1:8" ht="30.95" customHeight="1" x14ac:dyDescent="0.25">
      <c r="A16" s="11" t="s">
        <v>231</v>
      </c>
      <c r="B16" s="4">
        <v>0</v>
      </c>
    </row>
    <row r="17" spans="1:8" ht="30.95" customHeight="1" x14ac:dyDescent="0.25">
      <c r="A17" s="11" t="s">
        <v>232</v>
      </c>
      <c r="B17" s="4">
        <v>0</v>
      </c>
    </row>
    <row r="18" spans="1:8" ht="30.95" customHeight="1" x14ac:dyDescent="0.25">
      <c r="A18" s="15" t="s">
        <v>233</v>
      </c>
      <c r="B18" s="42">
        <f>SUM(B13:B17)</f>
        <v>2</v>
      </c>
    </row>
    <row r="19" spans="1:8" ht="30.95" customHeight="1" x14ac:dyDescent="0.25"/>
    <row r="20" spans="1:8" ht="30.95" customHeight="1" x14ac:dyDescent="0.25">
      <c r="A20" s="17" t="s">
        <v>234</v>
      </c>
      <c r="B20" s="2"/>
      <c r="C20" s="2"/>
      <c r="D20" s="2"/>
      <c r="E20" s="2"/>
      <c r="F20" s="2"/>
      <c r="G20" s="2"/>
      <c r="H20" s="2"/>
    </row>
    <row r="21" spans="1:8" ht="30.95" customHeight="1" x14ac:dyDescent="0.25">
      <c r="A21" s="15" t="s">
        <v>235</v>
      </c>
      <c r="B21" s="43" t="str">
        <f>IF(AND(B10&gt;=7,B18&gt;=7),"OUTCOME",IF(AND(B10&gt;=7,B18&lt;7),"USAGE",IF(AND(B10&lt;7,B18&gt;=7),"USAGE (an toàn)","SEAT hoặc HYBRID")))</f>
        <v>SEAT hoặc HYBRID</v>
      </c>
    </row>
    <row r="22" spans="1:8" ht="48" customHeight="1" x14ac:dyDescent="0.25">
      <c r="A22" s="9" t="s">
        <v>236</v>
      </c>
    </row>
    <row r="23" spans="1:8" ht="30.95" customHeight="1" x14ac:dyDescent="0.25"/>
    <row r="24" spans="1:8" ht="30.95" customHeight="1" x14ac:dyDescent="0.25">
      <c r="A24" s="17" t="s">
        <v>237</v>
      </c>
      <c r="B24" s="2"/>
      <c r="C24" s="2"/>
      <c r="D24" s="2"/>
      <c r="E24" s="2"/>
      <c r="F24" s="2"/>
      <c r="G24" s="2"/>
      <c r="H24" s="2"/>
    </row>
    <row r="25" spans="1:8" ht="30.95" customHeight="1" x14ac:dyDescent="0.25">
      <c r="A25" s="37" t="s">
        <v>238</v>
      </c>
      <c r="B25" s="37" t="s">
        <v>239</v>
      </c>
      <c r="C25" s="37" t="s">
        <v>240</v>
      </c>
      <c r="D25" s="37" t="s">
        <v>241</v>
      </c>
    </row>
    <row r="26" spans="1:8" ht="30.95" customHeight="1" x14ac:dyDescent="0.25">
      <c r="A26" s="4" t="s">
        <v>242</v>
      </c>
      <c r="B26" s="4" t="s">
        <v>243</v>
      </c>
      <c r="C26" s="4" t="s">
        <v>244</v>
      </c>
      <c r="D26" s="4" t="s">
        <v>245</v>
      </c>
    </row>
    <row r="27" spans="1:8" ht="30.95" customHeight="1" x14ac:dyDescent="0.25">
      <c r="A27" s="4" t="s">
        <v>246</v>
      </c>
      <c r="B27" s="4" t="s">
        <v>243</v>
      </c>
      <c r="C27" s="4" t="s">
        <v>247</v>
      </c>
      <c r="D27" s="4" t="s">
        <v>248</v>
      </c>
    </row>
    <row r="28" spans="1:8" ht="30.95" customHeight="1" x14ac:dyDescent="0.25"/>
    <row r="29" spans="1:8" ht="30.95" customHeight="1" x14ac:dyDescent="0.25">
      <c r="A29" s="17" t="s">
        <v>249</v>
      </c>
      <c r="B29" s="2"/>
      <c r="C29" s="2"/>
      <c r="D29" s="2"/>
      <c r="E29" s="2"/>
      <c r="F29" s="2"/>
      <c r="G29" s="2"/>
      <c r="H29" s="2"/>
    </row>
    <row r="30" spans="1:8" ht="30.95" customHeight="1" x14ac:dyDescent="0.25">
      <c r="A30" s="11" t="s">
        <v>250</v>
      </c>
      <c r="B30" s="4" t="s">
        <v>251</v>
      </c>
    </row>
    <row r="31" spans="1:8" ht="48" customHeight="1" x14ac:dyDescent="0.25">
      <c r="A31" s="11" t="s">
        <v>252</v>
      </c>
      <c r="B31" s="4" t="s">
        <v>253</v>
      </c>
    </row>
    <row r="32" spans="1:8" ht="48" customHeight="1" x14ac:dyDescent="0.25">
      <c r="A32" s="11" t="s">
        <v>254</v>
      </c>
      <c r="B32" s="4" t="s">
        <v>255</v>
      </c>
    </row>
    <row r="33" spans="1:2" ht="48" customHeight="1" x14ac:dyDescent="0.25">
      <c r="A33" s="11" t="s">
        <v>256</v>
      </c>
      <c r="B33" s="4" t="s">
        <v>257</v>
      </c>
    </row>
    <row r="34" spans="1:2" ht="48" customHeight="1" x14ac:dyDescent="0.25">
      <c r="A34" s="11" t="s">
        <v>258</v>
      </c>
      <c r="B34" s="4" t="s">
        <v>259</v>
      </c>
    </row>
    <row r="35" spans="1:2" ht="30.95" customHeight="1" x14ac:dyDescent="0.25"/>
    <row r="36" spans="1:2" ht="48" customHeight="1" x14ac:dyDescent="0.25">
      <c r="A36" s="16" t="s">
        <v>260</v>
      </c>
      <c r="B36" s="16" t="s">
        <v>261</v>
      </c>
    </row>
    <row r="37" spans="1:2" ht="30.95" customHeight="1" x14ac:dyDescent="0.25">
      <c r="A37" s="16" t="s">
        <v>50</v>
      </c>
      <c r="B37" s="16" t="s">
        <v>51</v>
      </c>
    </row>
    <row r="38" spans="1:2" ht="15.75" customHeight="1" x14ac:dyDescent="0.25"/>
    <row r="39" spans="1:2" ht="15.75" customHeight="1" x14ac:dyDescent="0.25"/>
    <row r="40" spans="1:2" ht="15.75" customHeight="1" x14ac:dyDescent="0.25"/>
    <row r="41" spans="1:2" ht="15.75" customHeight="1" x14ac:dyDescent="0.25"/>
    <row r="42" spans="1:2" ht="15.75" customHeight="1" x14ac:dyDescent="0.25"/>
    <row r="43" spans="1:2" ht="15.75" customHeight="1" x14ac:dyDescent="0.25"/>
    <row r="44" spans="1:2" ht="15.75" customHeight="1" x14ac:dyDescent="0.25"/>
    <row r="45" spans="1:2" ht="15.75" customHeight="1" x14ac:dyDescent="0.25"/>
    <row r="46" spans="1:2" ht="15.75" customHeight="1" x14ac:dyDescent="0.25"/>
    <row r="47" spans="1:2" ht="15.75" customHeight="1" x14ac:dyDescent="0.25"/>
    <row r="48" spans="1:2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rintOptions horizontalCentered="1"/>
  <pageMargins left="0.75" right="0.75" top="1" bottom="1" header="0" footer="0"/>
  <pageSetup paperSize="9" fitToHeight="0" orientation="landscape"/>
  <headerFooter>
    <oddFooter>&amp;CCampus 24/7 · Day22 · Giả định / chưa pilot&amp;RTrang &amp;P / &amp;N</oddFooter>
  </headerFooter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H1000"/>
  <sheetViews>
    <sheetView showGridLines="0" workbookViewId="0">
      <pane xSplit="1" ySplit="3" topLeftCell="B4" activePane="bottomRight" state="frozen"/>
      <selection pane="topRight"/>
      <selection pane="bottomLeft"/>
      <selection pane="bottomRight"/>
    </sheetView>
  </sheetViews>
  <sheetFormatPr defaultColWidth="14.42578125" defaultRowHeight="15" customHeight="1" x14ac:dyDescent="0.25"/>
  <cols>
    <col min="1" max="1" width="55" customWidth="1"/>
    <col min="2" max="2" width="57" customWidth="1"/>
    <col min="3" max="3" width="24" customWidth="1"/>
    <col min="4" max="4" width="70" customWidth="1"/>
    <col min="5" max="8" width="15" customWidth="1"/>
    <col min="9" max="26" width="8.7109375" customWidth="1"/>
  </cols>
  <sheetData>
    <row r="1" spans="1:8" ht="42.95" customHeight="1" x14ac:dyDescent="0.25">
      <c r="A1" s="7" t="s">
        <v>262</v>
      </c>
      <c r="B1" s="8"/>
      <c r="C1" s="8"/>
      <c r="D1" s="8"/>
      <c r="E1" s="8"/>
      <c r="F1" s="8"/>
      <c r="G1" s="8"/>
      <c r="H1" s="8"/>
    </row>
    <row r="2" spans="1:8" ht="30.95" customHeight="1" x14ac:dyDescent="0.25">
      <c r="A2" s="9" t="s">
        <v>263</v>
      </c>
    </row>
    <row r="3" spans="1:8" ht="30.95" customHeight="1" x14ac:dyDescent="0.25"/>
    <row r="4" spans="1:8" ht="30.95" customHeight="1" x14ac:dyDescent="0.25">
      <c r="A4" s="17" t="s">
        <v>264</v>
      </c>
      <c r="B4" s="2"/>
      <c r="C4" s="2"/>
      <c r="D4" s="2"/>
      <c r="E4" s="2"/>
      <c r="F4" s="2"/>
      <c r="G4" s="2"/>
      <c r="H4" s="2"/>
    </row>
    <row r="5" spans="1:8" ht="30.95" customHeight="1" x14ac:dyDescent="0.25">
      <c r="A5" s="11" t="s">
        <v>265</v>
      </c>
      <c r="B5" s="32">
        <f>'2_Pricing'!B58</f>
        <v>220</v>
      </c>
    </row>
    <row r="6" spans="1:8" ht="30.95" customHeight="1" x14ac:dyDescent="0.25">
      <c r="A6" s="11" t="s">
        <v>266</v>
      </c>
      <c r="B6" s="25">
        <f>'2_Pricing'!B21</f>
        <v>0.69863272727272741</v>
      </c>
    </row>
    <row r="7" spans="1:8" ht="48" customHeight="1" x14ac:dyDescent="0.25">
      <c r="A7" s="11" t="s">
        <v>267</v>
      </c>
      <c r="B7" s="4" t="s">
        <v>268</v>
      </c>
      <c r="D7" s="16" t="s">
        <v>269</v>
      </c>
    </row>
    <row r="8" spans="1:8" ht="30.95" customHeight="1" x14ac:dyDescent="0.25">
      <c r="A8" s="11" t="s">
        <v>270</v>
      </c>
      <c r="B8" s="18">
        <f>IF(B7="SMB",12,IF(B7="Mid",18,24))</f>
        <v>12</v>
      </c>
      <c r="C8" s="9" t="s">
        <v>271</v>
      </c>
      <c r="D8" s="9" t="s">
        <v>272</v>
      </c>
    </row>
    <row r="9" spans="1:8" ht="30.95" customHeight="1" x14ac:dyDescent="0.25">
      <c r="A9" s="15" t="s">
        <v>273</v>
      </c>
      <c r="B9" s="44">
        <f>B5*B6*B8</f>
        <v>1844.3904000000002</v>
      </c>
      <c r="D9" s="9" t="s">
        <v>274</v>
      </c>
    </row>
    <row r="10" spans="1:8" ht="30.95" customHeight="1" x14ac:dyDescent="0.25">
      <c r="A10" s="11" t="s">
        <v>275</v>
      </c>
      <c r="B10" s="32">
        <f>B5*12</f>
        <v>2640</v>
      </c>
    </row>
    <row r="11" spans="1:8" ht="30.95" customHeight="1" x14ac:dyDescent="0.25"/>
    <row r="12" spans="1:8" ht="30.95" customHeight="1" x14ac:dyDescent="0.25">
      <c r="A12" s="17" t="s">
        <v>276</v>
      </c>
      <c r="B12" s="2"/>
      <c r="C12" s="2"/>
      <c r="D12" s="2"/>
      <c r="E12" s="2"/>
      <c r="F12" s="2"/>
      <c r="G12" s="2"/>
      <c r="H12" s="2"/>
    </row>
    <row r="13" spans="1:8" ht="30.95" customHeight="1" x14ac:dyDescent="0.25">
      <c r="A13" s="11" t="s">
        <v>277</v>
      </c>
      <c r="B13" s="32">
        <f>'7_Assumptions'!B30</f>
        <v>500000</v>
      </c>
      <c r="D13" s="9" t="s">
        <v>278</v>
      </c>
    </row>
    <row r="14" spans="1:8" ht="30.95" customHeight="1" x14ac:dyDescent="0.25">
      <c r="A14" s="11" t="s">
        <v>279</v>
      </c>
      <c r="B14" s="18">
        <f>'7_Assumptions'!B31</f>
        <v>250</v>
      </c>
      <c r="C14" s="9" t="s">
        <v>280</v>
      </c>
    </row>
    <row r="15" spans="1:8" ht="30.95" customHeight="1" x14ac:dyDescent="0.25">
      <c r="A15" s="11" t="s">
        <v>281</v>
      </c>
      <c r="B15" s="18">
        <f>IF(B10=0,0,B13/B10)</f>
        <v>189.39393939393941</v>
      </c>
    </row>
    <row r="16" spans="1:8" ht="30.95" customHeight="1" x14ac:dyDescent="0.25">
      <c r="A16" s="15" t="s">
        <v>282</v>
      </c>
      <c r="B16" s="45">
        <f>IF(B14=0,0,B15/B14)</f>
        <v>0.75757575757575757</v>
      </c>
      <c r="C16" s="9" t="s">
        <v>283</v>
      </c>
    </row>
    <row r="17" spans="1:8" ht="30.95" customHeight="1" x14ac:dyDescent="0.25">
      <c r="A17" s="11" t="s">
        <v>284</v>
      </c>
      <c r="B17" s="35" t="str">
        <f>IF(B16&lt;=1,"KHẢ THI về mặt số học","BẤT KHẢ THI — ACV quá thấp để nuôi sales rep")</f>
        <v>KHẢ THI về mặt số học</v>
      </c>
    </row>
    <row r="18" spans="1:8" ht="30.95" customHeight="1" x14ac:dyDescent="0.25"/>
    <row r="19" spans="1:8" ht="30.95" customHeight="1" x14ac:dyDescent="0.25">
      <c r="A19" s="17" t="s">
        <v>285</v>
      </c>
      <c r="B19" s="2"/>
      <c r="C19" s="2"/>
      <c r="D19" s="2"/>
      <c r="E19" s="2"/>
      <c r="F19" s="2"/>
      <c r="G19" s="2"/>
      <c r="H19" s="2"/>
    </row>
    <row r="20" spans="1:8" ht="48" customHeight="1" x14ac:dyDescent="0.25">
      <c r="A20" s="11" t="s">
        <v>286</v>
      </c>
      <c r="B20" s="32">
        <f>'7_Assumptions'!B32*'7_Assumptions'!B33+'7_Assumptions'!B34</f>
        <v>100</v>
      </c>
      <c r="D20" s="9" t="s">
        <v>287</v>
      </c>
    </row>
    <row r="21" spans="1:8" ht="30.95" customHeight="1" x14ac:dyDescent="0.25">
      <c r="A21" s="11" t="s">
        <v>288</v>
      </c>
      <c r="B21" s="25">
        <f>'7_Assumptions'!B35</f>
        <v>0.25</v>
      </c>
    </row>
    <row r="22" spans="1:8" ht="30.95" customHeight="1" x14ac:dyDescent="0.25">
      <c r="A22" s="11" t="s">
        <v>289</v>
      </c>
      <c r="B22" s="32">
        <f>B20/B21+'7_Assumptions'!B37</f>
        <v>480</v>
      </c>
    </row>
    <row r="23" spans="1:8" ht="30.95" customHeight="1" x14ac:dyDescent="0.25">
      <c r="A23" s="15" t="s">
        <v>290</v>
      </c>
      <c r="B23" s="46">
        <f>IF(B9=0,0,B22/B9)</f>
        <v>0.26024858945264512</v>
      </c>
      <c r="D23" s="9" t="s">
        <v>291</v>
      </c>
    </row>
    <row r="24" spans="1:8" ht="30.95" customHeight="1" x14ac:dyDescent="0.25">
      <c r="A24" s="11" t="s">
        <v>193</v>
      </c>
      <c r="B24" s="35" t="str">
        <f>IF(B23&lt;=1,"Founder sales khả thi trong giả định, chưa có pipeline",IF(B23&lt;=3,"Cần giảm CAC/tăng giá — chưa khả thi để scale","Không khả thi theo giả định"))</f>
        <v>Founder sales khả thi trong giả định, chưa có pipeline</v>
      </c>
    </row>
    <row r="25" spans="1:8" ht="30.95" customHeight="1" x14ac:dyDescent="0.25"/>
    <row r="26" spans="1:8" ht="30.95" customHeight="1" x14ac:dyDescent="0.25">
      <c r="A26" s="17" t="s">
        <v>292</v>
      </c>
      <c r="B26" s="2"/>
      <c r="C26" s="2"/>
      <c r="D26" s="2"/>
      <c r="E26" s="2"/>
      <c r="F26" s="2"/>
      <c r="G26" s="2"/>
      <c r="H26" s="2"/>
    </row>
    <row r="27" spans="1:8" ht="30.95" customHeight="1" x14ac:dyDescent="0.25">
      <c r="A27" s="37" t="s">
        <v>293</v>
      </c>
      <c r="B27" s="37" t="s">
        <v>294</v>
      </c>
      <c r="C27" s="37" t="s">
        <v>295</v>
      </c>
      <c r="D27" s="37" t="s">
        <v>296</v>
      </c>
    </row>
    <row r="28" spans="1:8" ht="30.95" customHeight="1" x14ac:dyDescent="0.25">
      <c r="A28" s="11" t="s">
        <v>297</v>
      </c>
      <c r="B28" s="4">
        <v>3</v>
      </c>
      <c r="C28" s="4">
        <v>3</v>
      </c>
      <c r="D28" s="4">
        <v>2</v>
      </c>
    </row>
    <row r="29" spans="1:8" ht="30.95" customHeight="1" x14ac:dyDescent="0.25">
      <c r="A29" s="11" t="s">
        <v>298</v>
      </c>
      <c r="B29" s="4">
        <v>1</v>
      </c>
      <c r="C29" s="4">
        <v>4</v>
      </c>
      <c r="D29" s="4">
        <v>2</v>
      </c>
    </row>
    <row r="30" spans="1:8" ht="30.95" customHeight="1" x14ac:dyDescent="0.25">
      <c r="A30" s="11" t="s">
        <v>299</v>
      </c>
      <c r="B30" s="4">
        <v>2</v>
      </c>
      <c r="C30" s="4">
        <v>3</v>
      </c>
      <c r="D30" s="4">
        <v>1</v>
      </c>
    </row>
    <row r="31" spans="1:8" ht="30.95" customHeight="1" x14ac:dyDescent="0.25">
      <c r="A31" s="11" t="s">
        <v>300</v>
      </c>
      <c r="B31" s="4">
        <v>2</v>
      </c>
      <c r="C31" s="4">
        <v>3</v>
      </c>
      <c r="D31" s="4">
        <v>1</v>
      </c>
    </row>
    <row r="32" spans="1:8" ht="30.95" customHeight="1" x14ac:dyDescent="0.25">
      <c r="A32" s="11" t="s">
        <v>301</v>
      </c>
      <c r="B32" s="4">
        <v>2</v>
      </c>
      <c r="C32" s="4">
        <v>4</v>
      </c>
      <c r="D32" s="4">
        <v>2</v>
      </c>
    </row>
    <row r="33" spans="1:8" ht="30.95" customHeight="1" x14ac:dyDescent="0.25">
      <c r="A33" s="11" t="s">
        <v>302</v>
      </c>
      <c r="B33" s="4">
        <v>3</v>
      </c>
      <c r="C33" s="4">
        <v>3</v>
      </c>
      <c r="D33" s="4">
        <v>1</v>
      </c>
    </row>
    <row r="34" spans="1:8" ht="30.95" customHeight="1" x14ac:dyDescent="0.25">
      <c r="A34" s="15" t="s">
        <v>303</v>
      </c>
      <c r="B34" s="43">
        <f>SUM(B28:B33)</f>
        <v>13</v>
      </c>
      <c r="C34" s="47">
        <f>SUM(C28:C33)</f>
        <v>20</v>
      </c>
      <c r="D34" s="47">
        <f>SUM(D28:D33)</f>
        <v>9</v>
      </c>
    </row>
    <row r="35" spans="1:8" ht="30.95" customHeight="1" x14ac:dyDescent="0.25">
      <c r="A35" s="15" t="s">
        <v>304</v>
      </c>
      <c r="B35" s="43" t="str">
        <f>IF(AND(B34&gt;=C34,B34&gt;=D34),"PLG",IF(C34&gt;=D34,"Sales-Led","Partner-Led"))</f>
        <v>Sales-Led</v>
      </c>
    </row>
    <row r="36" spans="1:8" ht="30.95" customHeight="1" x14ac:dyDescent="0.25"/>
    <row r="37" spans="1:8" ht="30.95" customHeight="1" x14ac:dyDescent="0.25">
      <c r="A37" s="17" t="s">
        <v>305</v>
      </c>
      <c r="B37" s="2"/>
      <c r="C37" s="2"/>
      <c r="D37" s="2"/>
      <c r="E37" s="2"/>
      <c r="F37" s="2"/>
      <c r="G37" s="2"/>
      <c r="H37" s="2"/>
    </row>
    <row r="38" spans="1:8" ht="30.95" customHeight="1" x14ac:dyDescent="0.25">
      <c r="A38" s="11" t="s">
        <v>306</v>
      </c>
      <c r="B38" s="4" t="s">
        <v>307</v>
      </c>
      <c r="D38" s="9" t="s">
        <v>308</v>
      </c>
    </row>
    <row r="39" spans="1:8" ht="30.95" customHeight="1" x14ac:dyDescent="0.25">
      <c r="A39" s="11" t="s">
        <v>309</v>
      </c>
      <c r="B39" s="4" t="s">
        <v>310</v>
      </c>
      <c r="D39" s="9" t="s">
        <v>311</v>
      </c>
    </row>
    <row r="40" spans="1:8" ht="30.95" customHeight="1" x14ac:dyDescent="0.25">
      <c r="A40" s="11" t="s">
        <v>312</v>
      </c>
      <c r="B40" s="4" t="s">
        <v>313</v>
      </c>
    </row>
    <row r="41" spans="1:8" ht="30.95" customHeight="1" x14ac:dyDescent="0.25">
      <c r="A41" s="11" t="s">
        <v>314</v>
      </c>
      <c r="B41" s="4" t="s">
        <v>315</v>
      </c>
    </row>
    <row r="42" spans="1:8" ht="48" customHeight="1" x14ac:dyDescent="0.25">
      <c r="A42" s="11" t="s">
        <v>316</v>
      </c>
      <c r="B42" s="4" t="s">
        <v>317</v>
      </c>
      <c r="D42" s="9" t="s">
        <v>318</v>
      </c>
    </row>
    <row r="43" spans="1:8" ht="30.95" customHeight="1" x14ac:dyDescent="0.25"/>
    <row r="44" spans="1:8" ht="30.95" customHeight="1" x14ac:dyDescent="0.25">
      <c r="A44" s="16" t="s">
        <v>319</v>
      </c>
    </row>
    <row r="45" spans="1:8" ht="30.95" customHeight="1" x14ac:dyDescent="0.25">
      <c r="A45" s="16" t="s">
        <v>320</v>
      </c>
      <c r="B45" s="30">
        <f>'7_Assumptions'!B41</f>
        <v>1000</v>
      </c>
      <c r="C45" s="16" t="s">
        <v>131</v>
      </c>
      <c r="D45" s="16" t="s">
        <v>321</v>
      </c>
    </row>
    <row r="46" spans="1:8" ht="30.95" customHeight="1" x14ac:dyDescent="0.25">
      <c r="A46" s="16" t="s">
        <v>322</v>
      </c>
      <c r="B46" s="30">
        <f>'7_Assumptions'!B42</f>
        <v>4080</v>
      </c>
      <c r="C46" s="16" t="s">
        <v>131</v>
      </c>
    </row>
    <row r="47" spans="1:8" ht="30.95" customHeight="1" x14ac:dyDescent="0.25">
      <c r="A47" s="16" t="s">
        <v>323</v>
      </c>
      <c r="B47" s="30">
        <f>B46/B9</f>
        <v>2.2121130103474838</v>
      </c>
      <c r="C47" s="16" t="s">
        <v>162</v>
      </c>
    </row>
    <row r="48" spans="1:8" ht="30.95" customHeight="1" x14ac:dyDescent="0.25">
      <c r="A48" s="16" t="s">
        <v>324</v>
      </c>
      <c r="B48" s="30">
        <f>B22</f>
        <v>480</v>
      </c>
      <c r="C48" s="16" t="s">
        <v>131</v>
      </c>
    </row>
    <row r="49" spans="1:3" ht="30.95" customHeight="1" x14ac:dyDescent="0.25">
      <c r="A49" s="16" t="s">
        <v>325</v>
      </c>
      <c r="B49" s="30">
        <f>B22/(B5*B6)</f>
        <v>3.1229830734317416</v>
      </c>
      <c r="C49" s="16" t="s">
        <v>271</v>
      </c>
    </row>
    <row r="50" spans="1:3" ht="48" customHeight="1" x14ac:dyDescent="0.25">
      <c r="A50" s="16" t="s">
        <v>326</v>
      </c>
      <c r="B50" s="16" t="s">
        <v>327</v>
      </c>
    </row>
    <row r="51" spans="1:3" ht="48" customHeight="1" x14ac:dyDescent="0.25">
      <c r="A51" s="16" t="s">
        <v>328</v>
      </c>
      <c r="B51" s="16" t="s">
        <v>329</v>
      </c>
    </row>
    <row r="52" spans="1:3" ht="15.75" customHeight="1" x14ac:dyDescent="0.25"/>
    <row r="53" spans="1:3" ht="15.75" customHeight="1" x14ac:dyDescent="0.25"/>
    <row r="54" spans="1:3" ht="15.75" customHeight="1" x14ac:dyDescent="0.25"/>
    <row r="55" spans="1:3" ht="15.75" customHeight="1" x14ac:dyDescent="0.25"/>
    <row r="56" spans="1:3" ht="15.75" customHeight="1" x14ac:dyDescent="0.25"/>
    <row r="57" spans="1:3" ht="15.75" customHeight="1" x14ac:dyDescent="0.25"/>
    <row r="58" spans="1:3" ht="15.75" customHeight="1" x14ac:dyDescent="0.25"/>
    <row r="59" spans="1:3" ht="15.75" customHeight="1" x14ac:dyDescent="0.25"/>
    <row r="60" spans="1:3" ht="15.75" customHeight="1" x14ac:dyDescent="0.25"/>
    <row r="61" spans="1:3" ht="15.75" customHeight="1" x14ac:dyDescent="0.25"/>
    <row r="62" spans="1:3" ht="15.75" customHeight="1" x14ac:dyDescent="0.25"/>
    <row r="63" spans="1:3" ht="15.75" customHeight="1" x14ac:dyDescent="0.25"/>
    <row r="64" spans="1:3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dataValidations count="1">
    <dataValidation type="list" allowBlank="1" sqref="B7" xr:uid="{00000000-0002-0000-0400-000000000000}">
      <formula1>"SMB,Mid,Enterprise"</formula1>
    </dataValidation>
  </dataValidations>
  <printOptions horizontalCentered="1"/>
  <pageMargins left="0.75" right="0.75" top="1" bottom="1" header="0" footer="0"/>
  <pageSetup paperSize="9" fitToHeight="0" orientation="landscape"/>
  <headerFooter>
    <oddFooter>&amp;CCampus 24/7 · Day22 · Giả định / chưa pilot&amp;RTrang &amp;P / &amp;N</oddFooter>
  </headerFooter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H1000"/>
  <sheetViews>
    <sheetView showGridLines="0" workbookViewId="0">
      <pane xSplit="1" ySplit="3" topLeftCell="B4" activePane="bottomRight" state="frozen"/>
      <selection pane="topRight"/>
      <selection pane="bottomLeft"/>
      <selection pane="bottomRight"/>
    </sheetView>
  </sheetViews>
  <sheetFormatPr defaultColWidth="14.42578125" defaultRowHeight="15" customHeight="1" x14ac:dyDescent="0.25"/>
  <cols>
    <col min="1" max="1" width="55" customWidth="1"/>
    <col min="2" max="2" width="57" customWidth="1"/>
    <col min="3" max="3" width="40" customWidth="1"/>
    <col min="4" max="4" width="70" customWidth="1"/>
    <col min="5" max="8" width="15" customWidth="1"/>
    <col min="9" max="26" width="8.7109375" customWidth="1"/>
  </cols>
  <sheetData>
    <row r="1" spans="1:8" ht="42.95" customHeight="1" x14ac:dyDescent="0.25">
      <c r="A1" s="7" t="s">
        <v>330</v>
      </c>
      <c r="B1" s="8"/>
      <c r="C1" s="8"/>
      <c r="D1" s="8"/>
      <c r="E1" s="8"/>
      <c r="F1" s="8"/>
      <c r="G1" s="8"/>
      <c r="H1" s="8"/>
    </row>
    <row r="2" spans="1:8" ht="30.95" customHeight="1" x14ac:dyDescent="0.25">
      <c r="A2" s="9" t="s">
        <v>331</v>
      </c>
    </row>
    <row r="3" spans="1:8" ht="30.95" customHeight="1" x14ac:dyDescent="0.25"/>
    <row r="4" spans="1:8" ht="30.95" customHeight="1" x14ac:dyDescent="0.25">
      <c r="A4" s="17" t="s">
        <v>332</v>
      </c>
      <c r="B4" s="2"/>
      <c r="C4" s="2"/>
      <c r="D4" s="2"/>
      <c r="E4" s="2"/>
      <c r="F4" s="2"/>
      <c r="G4" s="2"/>
      <c r="H4" s="2"/>
    </row>
    <row r="5" spans="1:8" ht="30.95" customHeight="1" x14ac:dyDescent="0.25">
      <c r="A5" s="11" t="s">
        <v>333</v>
      </c>
      <c r="B5" s="4" t="s">
        <v>334</v>
      </c>
    </row>
    <row r="6" spans="1:8" ht="48" customHeight="1" x14ac:dyDescent="0.25">
      <c r="A6" s="11" t="s">
        <v>335</v>
      </c>
      <c r="B6" s="4" t="s">
        <v>336</v>
      </c>
    </row>
    <row r="7" spans="1:8" ht="48" customHeight="1" x14ac:dyDescent="0.25">
      <c r="A7" s="11" t="s">
        <v>337</v>
      </c>
      <c r="B7" s="4" t="s">
        <v>338</v>
      </c>
    </row>
    <row r="8" spans="1:8" ht="48" customHeight="1" x14ac:dyDescent="0.25">
      <c r="A8" s="11" t="s">
        <v>339</v>
      </c>
      <c r="B8" s="4" t="s">
        <v>340</v>
      </c>
      <c r="D8" s="9" t="s">
        <v>341</v>
      </c>
    </row>
    <row r="9" spans="1:8" ht="30.95" customHeight="1" x14ac:dyDescent="0.25"/>
    <row r="10" spans="1:8" ht="30.95" customHeight="1" x14ac:dyDescent="0.25">
      <c r="A10" s="17" t="s">
        <v>342</v>
      </c>
      <c r="B10" s="2"/>
      <c r="C10" s="2"/>
      <c r="D10" s="2"/>
      <c r="E10" s="2"/>
      <c r="F10" s="2"/>
      <c r="G10" s="2"/>
      <c r="H10" s="2"/>
    </row>
    <row r="11" spans="1:8" ht="30.95" customHeight="1" x14ac:dyDescent="0.25">
      <c r="A11" s="3"/>
      <c r="B11" s="37" t="s">
        <v>343</v>
      </c>
      <c r="C11" s="37" t="s">
        <v>344</v>
      </c>
      <c r="D11" s="37" t="s">
        <v>345</v>
      </c>
    </row>
    <row r="12" spans="1:8" ht="30.95" customHeight="1" x14ac:dyDescent="0.25">
      <c r="A12" s="11" t="s">
        <v>346</v>
      </c>
      <c r="B12" s="4" t="s">
        <v>347</v>
      </c>
      <c r="C12" s="4" t="s">
        <v>348</v>
      </c>
      <c r="D12" s="4" t="s">
        <v>349</v>
      </c>
    </row>
    <row r="13" spans="1:8" ht="30.95" customHeight="1" x14ac:dyDescent="0.25">
      <c r="A13" s="11" t="s">
        <v>350</v>
      </c>
      <c r="B13" s="4" t="s">
        <v>351</v>
      </c>
      <c r="C13" s="4" t="s">
        <v>352</v>
      </c>
      <c r="D13" s="4" t="s">
        <v>353</v>
      </c>
    </row>
    <row r="14" spans="1:8" ht="48" customHeight="1" x14ac:dyDescent="0.25">
      <c r="A14" s="11" t="s">
        <v>354</v>
      </c>
      <c r="B14" s="4" t="s">
        <v>355</v>
      </c>
      <c r="C14" s="4" t="s">
        <v>356</v>
      </c>
      <c r="D14" s="4" t="s">
        <v>357</v>
      </c>
    </row>
    <row r="15" spans="1:8" ht="48" customHeight="1" x14ac:dyDescent="0.25">
      <c r="A15" s="11" t="s">
        <v>358</v>
      </c>
      <c r="B15" s="4" t="s">
        <v>359</v>
      </c>
      <c r="C15" s="4" t="s">
        <v>360</v>
      </c>
      <c r="D15" s="4" t="s">
        <v>361</v>
      </c>
    </row>
    <row r="16" spans="1:8" ht="48" customHeight="1" x14ac:dyDescent="0.25">
      <c r="A16" s="11" t="s">
        <v>362</v>
      </c>
      <c r="B16" s="4" t="s">
        <v>363</v>
      </c>
      <c r="C16" s="4" t="s">
        <v>364</v>
      </c>
      <c r="D16" s="4" t="s">
        <v>365</v>
      </c>
    </row>
    <row r="17" spans="1:8" ht="48" customHeight="1" x14ac:dyDescent="0.25">
      <c r="A17" s="11" t="s">
        <v>366</v>
      </c>
      <c r="B17" s="4" t="s">
        <v>367</v>
      </c>
      <c r="C17" s="4" t="s">
        <v>368</v>
      </c>
      <c r="D17" s="4" t="s">
        <v>369</v>
      </c>
    </row>
    <row r="18" spans="1:8" ht="30.95" customHeight="1" x14ac:dyDescent="0.25">
      <c r="A18" s="11" t="s">
        <v>370</v>
      </c>
      <c r="B18" s="4" t="s">
        <v>371</v>
      </c>
      <c r="C18" s="4" t="s">
        <v>372</v>
      </c>
      <c r="D18" s="4" t="s">
        <v>373</v>
      </c>
    </row>
    <row r="19" spans="1:8" ht="48" customHeight="1" x14ac:dyDescent="0.25">
      <c r="A19" s="9" t="s">
        <v>374</v>
      </c>
    </row>
    <row r="20" spans="1:8" ht="30.95" customHeight="1" x14ac:dyDescent="0.25"/>
    <row r="21" spans="1:8" ht="30.95" customHeight="1" x14ac:dyDescent="0.25">
      <c r="A21" s="17" t="s">
        <v>375</v>
      </c>
      <c r="B21" s="2"/>
      <c r="C21" s="2"/>
      <c r="D21" s="2"/>
      <c r="E21" s="2"/>
      <c r="F21" s="2"/>
      <c r="G21" s="2"/>
      <c r="H21" s="2"/>
    </row>
    <row r="22" spans="1:8" ht="30.95" customHeight="1" x14ac:dyDescent="0.25">
      <c r="A22" s="37" t="s">
        <v>376</v>
      </c>
      <c r="B22" s="37" t="s">
        <v>377</v>
      </c>
      <c r="C22" s="37" t="s">
        <v>378</v>
      </c>
      <c r="D22" s="37" t="s">
        <v>379</v>
      </c>
    </row>
    <row r="23" spans="1:8" ht="48" customHeight="1" x14ac:dyDescent="0.25">
      <c r="A23" s="11" t="s">
        <v>380</v>
      </c>
      <c r="B23" s="4" t="s">
        <v>381</v>
      </c>
      <c r="C23" s="4" t="s">
        <v>382</v>
      </c>
      <c r="D23" s="4" t="s">
        <v>383</v>
      </c>
    </row>
    <row r="24" spans="1:8" ht="48" customHeight="1" x14ac:dyDescent="0.25">
      <c r="A24" s="11" t="s">
        <v>384</v>
      </c>
      <c r="B24" s="4" t="s">
        <v>385</v>
      </c>
      <c r="C24" s="4" t="s">
        <v>386</v>
      </c>
      <c r="D24" s="4" t="s">
        <v>387</v>
      </c>
    </row>
    <row r="25" spans="1:8" ht="48" customHeight="1" x14ac:dyDescent="0.25">
      <c r="A25" s="11" t="s">
        <v>388</v>
      </c>
      <c r="B25" s="4" t="s">
        <v>389</v>
      </c>
      <c r="C25" s="4" t="s">
        <v>390</v>
      </c>
      <c r="D25" s="4" t="s">
        <v>391</v>
      </c>
    </row>
    <row r="26" spans="1:8" ht="48" customHeight="1" x14ac:dyDescent="0.25">
      <c r="A26" s="9" t="s">
        <v>392</v>
      </c>
    </row>
    <row r="27" spans="1:8" ht="30.95" customHeight="1" x14ac:dyDescent="0.25"/>
    <row r="28" spans="1:8" ht="30.95" customHeight="1" x14ac:dyDescent="0.25">
      <c r="A28" s="17" t="s">
        <v>393</v>
      </c>
      <c r="B28" s="2"/>
      <c r="C28" s="2"/>
      <c r="D28" s="2"/>
      <c r="E28" s="2"/>
      <c r="F28" s="2"/>
      <c r="G28" s="2"/>
      <c r="H28" s="2"/>
    </row>
    <row r="29" spans="1:8" ht="48" customHeight="1" x14ac:dyDescent="0.25">
      <c r="A29" s="11" t="s">
        <v>394</v>
      </c>
      <c r="B29" s="4" t="s">
        <v>395</v>
      </c>
    </row>
    <row r="30" spans="1:8" ht="30.95" customHeight="1" x14ac:dyDescent="0.25">
      <c r="A30" s="11" t="s">
        <v>396</v>
      </c>
      <c r="B30" s="4" t="s">
        <v>397</v>
      </c>
    </row>
    <row r="31" spans="1:8" ht="30.95" customHeight="1" x14ac:dyDescent="0.25">
      <c r="A31" s="11" t="s">
        <v>398</v>
      </c>
      <c r="B31" s="4" t="s">
        <v>399</v>
      </c>
    </row>
    <row r="32" spans="1:8" ht="30.95" customHeight="1" x14ac:dyDescent="0.25">
      <c r="A32" s="11" t="s">
        <v>400</v>
      </c>
      <c r="B32" s="4" t="s">
        <v>401</v>
      </c>
    </row>
    <row r="33" spans="1:2" ht="30.95" customHeight="1" x14ac:dyDescent="0.25"/>
    <row r="34" spans="1:2" ht="30.95" customHeight="1" x14ac:dyDescent="0.25">
      <c r="A34" s="16" t="s">
        <v>402</v>
      </c>
      <c r="B34" s="30" t="str">
        <f>'7_Assumptions'!B56</f>
        <v>06/01/2027</v>
      </c>
    </row>
    <row r="35" spans="1:2" ht="48" customHeight="1" x14ac:dyDescent="0.25">
      <c r="A35" s="16" t="s">
        <v>403</v>
      </c>
      <c r="B35" s="16" t="s">
        <v>404</v>
      </c>
    </row>
    <row r="36" spans="1:2" ht="15.75" customHeight="1" x14ac:dyDescent="0.25"/>
    <row r="37" spans="1:2" ht="15.75" customHeight="1" x14ac:dyDescent="0.25"/>
    <row r="38" spans="1:2" ht="15.75" customHeight="1" x14ac:dyDescent="0.25"/>
    <row r="39" spans="1:2" ht="15.75" customHeight="1" x14ac:dyDescent="0.25"/>
    <row r="40" spans="1:2" ht="15.75" customHeight="1" x14ac:dyDescent="0.25"/>
    <row r="41" spans="1:2" ht="15.75" customHeight="1" x14ac:dyDescent="0.25"/>
    <row r="42" spans="1:2" ht="15.75" customHeight="1" x14ac:dyDescent="0.25"/>
    <row r="43" spans="1:2" ht="15.75" customHeight="1" x14ac:dyDescent="0.25"/>
    <row r="44" spans="1:2" ht="15.75" customHeight="1" x14ac:dyDescent="0.25"/>
    <row r="45" spans="1:2" ht="15.75" customHeight="1" x14ac:dyDescent="0.25"/>
    <row r="46" spans="1:2" ht="15.75" customHeight="1" x14ac:dyDescent="0.25"/>
    <row r="47" spans="1:2" ht="15.75" customHeight="1" x14ac:dyDescent="0.25"/>
    <row r="48" spans="1:2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rintOptions horizontalCentered="1"/>
  <pageMargins left="0.75" right="0.75" top="1" bottom="1" header="0" footer="0"/>
  <pageSetup paperSize="9" fitToHeight="0" orientation="landscape"/>
  <headerFooter>
    <oddFooter>&amp;CCampus 24/7 · Day22 · Giả định / chưa pilot&amp;RTrang &amp;P / &amp;N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H1000"/>
  <sheetViews>
    <sheetView showGridLines="0" workbookViewId="0">
      <pane xSplit="1" ySplit="3" topLeftCell="B4" activePane="bottomRight" state="frozen"/>
      <selection pane="topRight"/>
      <selection pane="bottomLeft"/>
      <selection pane="bottomRight"/>
    </sheetView>
  </sheetViews>
  <sheetFormatPr defaultColWidth="14.42578125" defaultRowHeight="15" customHeight="1" x14ac:dyDescent="0.25"/>
  <cols>
    <col min="1" max="1" width="55" customWidth="1"/>
    <col min="2" max="2" width="57" customWidth="1"/>
    <col min="3" max="3" width="24" customWidth="1"/>
    <col min="4" max="4" width="70" customWidth="1"/>
    <col min="5" max="5" width="97" customWidth="1"/>
    <col min="6" max="8" width="15" customWidth="1"/>
    <col min="9" max="26" width="8.7109375" customWidth="1"/>
  </cols>
  <sheetData>
    <row r="1" spans="1:8" ht="42.95" customHeight="1" x14ac:dyDescent="0.25">
      <c r="A1" s="7" t="s">
        <v>405</v>
      </c>
      <c r="B1" s="8"/>
      <c r="C1" s="8"/>
      <c r="D1" s="8"/>
      <c r="E1" s="8"/>
      <c r="F1" s="8"/>
      <c r="G1" s="8"/>
      <c r="H1" s="8"/>
    </row>
    <row r="2" spans="1:8" ht="30.95" customHeight="1" x14ac:dyDescent="0.25">
      <c r="A2" s="9" t="s">
        <v>406</v>
      </c>
      <c r="B2" s="16" t="s">
        <v>407</v>
      </c>
    </row>
    <row r="3" spans="1:8" ht="30.95" customHeight="1" x14ac:dyDescent="0.25">
      <c r="A3" s="11" t="s">
        <v>408</v>
      </c>
      <c r="B3" s="4" t="s">
        <v>51</v>
      </c>
      <c r="D3" s="1"/>
    </row>
    <row r="4" spans="1:8" ht="48" customHeight="1" x14ac:dyDescent="0.25">
      <c r="A4" s="16" t="s">
        <v>409</v>
      </c>
      <c r="B4" s="16" t="s">
        <v>410</v>
      </c>
    </row>
    <row r="5" spans="1:8" ht="30.95" customHeight="1" x14ac:dyDescent="0.25">
      <c r="A5" s="48" t="s">
        <v>411</v>
      </c>
      <c r="B5" s="48" t="s">
        <v>412</v>
      </c>
      <c r="C5" s="48" t="s">
        <v>413</v>
      </c>
      <c r="D5" s="48" t="s">
        <v>414</v>
      </c>
      <c r="E5" s="48" t="s">
        <v>415</v>
      </c>
    </row>
    <row r="6" spans="1:8" ht="30.95" customHeight="1" x14ac:dyDescent="0.25">
      <c r="A6" s="14" t="s">
        <v>151</v>
      </c>
      <c r="B6" s="14" t="s">
        <v>416</v>
      </c>
      <c r="C6" s="14">
        <v>0.15</v>
      </c>
      <c r="D6" s="14" t="s">
        <v>417</v>
      </c>
      <c r="E6" s="49" t="s">
        <v>418</v>
      </c>
    </row>
    <row r="7" spans="1:8" ht="30.95" customHeight="1" x14ac:dyDescent="0.25">
      <c r="A7" s="14" t="s">
        <v>151</v>
      </c>
      <c r="B7" s="14" t="s">
        <v>419</v>
      </c>
      <c r="C7" s="14">
        <v>0.6</v>
      </c>
      <c r="D7" s="14" t="s">
        <v>417</v>
      </c>
      <c r="E7" s="49" t="s">
        <v>418</v>
      </c>
    </row>
    <row r="8" spans="1:8" ht="48" customHeight="1" x14ac:dyDescent="0.25">
      <c r="A8" s="14" t="s">
        <v>151</v>
      </c>
      <c r="B8" s="14" t="s">
        <v>420</v>
      </c>
      <c r="C8" s="14">
        <v>7.4999999999999997E-2</v>
      </c>
      <c r="D8" s="14" t="s">
        <v>417</v>
      </c>
      <c r="E8" s="49" t="s">
        <v>421</v>
      </c>
    </row>
    <row r="9" spans="1:8" ht="30.95" customHeight="1" x14ac:dyDescent="0.25">
      <c r="A9" s="14" t="s">
        <v>422</v>
      </c>
      <c r="B9" s="14" t="s">
        <v>423</v>
      </c>
      <c r="C9" s="14">
        <v>0.02</v>
      </c>
      <c r="D9" s="14" t="s">
        <v>417</v>
      </c>
      <c r="E9" s="49" t="s">
        <v>424</v>
      </c>
    </row>
    <row r="10" spans="1:8" ht="48" customHeight="1" x14ac:dyDescent="0.25">
      <c r="A10" s="14" t="s">
        <v>425</v>
      </c>
      <c r="B10" s="14" t="s">
        <v>242</v>
      </c>
      <c r="C10" s="14">
        <v>29</v>
      </c>
      <c r="D10" s="14" t="s">
        <v>426</v>
      </c>
      <c r="E10" s="49" t="s">
        <v>427</v>
      </c>
    </row>
    <row r="11" spans="1:8" ht="48" customHeight="1" x14ac:dyDescent="0.25">
      <c r="A11" s="14" t="s">
        <v>425</v>
      </c>
      <c r="B11" s="14" t="s">
        <v>246</v>
      </c>
      <c r="C11" s="14">
        <v>50</v>
      </c>
      <c r="D11" s="14" t="s">
        <v>426</v>
      </c>
      <c r="E11" s="49" t="s">
        <v>428</v>
      </c>
    </row>
    <row r="12" spans="1:8" ht="48" customHeight="1" x14ac:dyDescent="0.25">
      <c r="A12" s="14" t="s">
        <v>429</v>
      </c>
      <c r="B12" s="14" t="s">
        <v>430</v>
      </c>
      <c r="C12" s="14" t="s">
        <v>431</v>
      </c>
      <c r="D12" s="14" t="s">
        <v>432</v>
      </c>
      <c r="E12" s="49" t="s">
        <v>433</v>
      </c>
    </row>
    <row r="13" spans="1:8" ht="48" customHeight="1" x14ac:dyDescent="0.25">
      <c r="A13" s="14" t="s">
        <v>434</v>
      </c>
      <c r="B13" s="14" t="s">
        <v>435</v>
      </c>
      <c r="C13" s="14">
        <v>26100</v>
      </c>
      <c r="D13" s="14" t="s">
        <v>436</v>
      </c>
      <c r="E13" s="49" t="s">
        <v>437</v>
      </c>
    </row>
    <row r="14" spans="1:8" ht="30.95" customHeight="1" x14ac:dyDescent="0.25">
      <c r="A14" s="14" t="s">
        <v>438</v>
      </c>
      <c r="B14" s="14" t="s">
        <v>439</v>
      </c>
      <c r="C14" s="14" t="s">
        <v>440</v>
      </c>
      <c r="D14" s="14" t="s">
        <v>441</v>
      </c>
      <c r="E14" s="49" t="s">
        <v>442</v>
      </c>
    </row>
    <row r="15" spans="1:8" ht="30.95" customHeight="1" x14ac:dyDescent="0.25">
      <c r="A15" s="14" t="s">
        <v>438</v>
      </c>
      <c r="B15" s="14" t="s">
        <v>443</v>
      </c>
      <c r="C15" s="14" t="s">
        <v>444</v>
      </c>
      <c r="D15" s="14" t="s">
        <v>445</v>
      </c>
      <c r="E15" s="49" t="s">
        <v>446</v>
      </c>
    </row>
    <row r="16" spans="1:8" ht="30.95" customHeight="1" x14ac:dyDescent="0.25">
      <c r="A16" s="14" t="s">
        <v>447</v>
      </c>
      <c r="B16" s="14" t="s">
        <v>448</v>
      </c>
      <c r="C16" s="14" t="s">
        <v>449</v>
      </c>
      <c r="D16" s="14" t="s">
        <v>450</v>
      </c>
      <c r="E16" s="49" t="s">
        <v>451</v>
      </c>
    </row>
    <row r="17" spans="1:5" ht="48" customHeight="1" x14ac:dyDescent="0.25">
      <c r="A17" s="14" t="s">
        <v>452</v>
      </c>
      <c r="B17" s="14" t="s">
        <v>453</v>
      </c>
      <c r="C17" s="14" t="s">
        <v>454</v>
      </c>
      <c r="D17" s="14" t="s">
        <v>455</v>
      </c>
      <c r="E17" s="49" t="s">
        <v>456</v>
      </c>
    </row>
    <row r="18" spans="1:5" ht="48" customHeight="1" x14ac:dyDescent="0.25">
      <c r="A18" s="14" t="s">
        <v>452</v>
      </c>
      <c r="B18" s="14" t="s">
        <v>457</v>
      </c>
      <c r="C18" s="14" t="s">
        <v>458</v>
      </c>
      <c r="D18" s="14" t="s">
        <v>459</v>
      </c>
      <c r="E18" s="49" t="s">
        <v>460</v>
      </c>
    </row>
    <row r="19" spans="1:5" ht="30.95" customHeight="1" x14ac:dyDescent="0.25">
      <c r="A19" s="5"/>
      <c r="B19" s="5"/>
      <c r="C19" s="5"/>
      <c r="D19" s="5"/>
      <c r="E19" s="6"/>
    </row>
    <row r="20" spans="1:5" ht="30.95" customHeight="1" x14ac:dyDescent="0.25">
      <c r="A20" s="5"/>
      <c r="B20" s="5"/>
      <c r="C20" s="5"/>
      <c r="D20" s="5"/>
      <c r="E20" s="6"/>
    </row>
    <row r="21" spans="1:5" ht="30.95" customHeight="1" x14ac:dyDescent="0.25">
      <c r="A21" s="5"/>
      <c r="B21" s="5"/>
      <c r="C21" s="5"/>
      <c r="D21" s="5"/>
      <c r="E21" s="6"/>
    </row>
    <row r="22" spans="1:5" ht="30.95" customHeight="1" x14ac:dyDescent="0.25">
      <c r="A22" s="5"/>
      <c r="B22" s="5"/>
      <c r="C22" s="5"/>
      <c r="D22" s="5"/>
      <c r="E22" s="6"/>
    </row>
    <row r="23" spans="1:5" ht="30.95" customHeight="1" x14ac:dyDescent="0.25">
      <c r="A23" s="5"/>
      <c r="B23" s="5"/>
      <c r="C23" s="5"/>
      <c r="D23" s="5"/>
      <c r="E23" s="6"/>
    </row>
    <row r="24" spans="1:5" ht="30.95" customHeight="1" x14ac:dyDescent="0.25">
      <c r="A24" s="5"/>
      <c r="B24" s="5"/>
      <c r="C24" s="5"/>
      <c r="D24" s="5"/>
      <c r="E24" s="6"/>
    </row>
    <row r="25" spans="1:5" ht="30.95" customHeight="1" x14ac:dyDescent="0.25">
      <c r="A25" s="5"/>
      <c r="B25" s="5"/>
      <c r="C25" s="5"/>
      <c r="D25" s="5"/>
      <c r="E25" s="6"/>
    </row>
    <row r="26" spans="1:5" ht="30.95" customHeight="1" x14ac:dyDescent="0.25">
      <c r="A26" s="5"/>
      <c r="B26" s="5"/>
      <c r="C26" s="5"/>
      <c r="D26" s="5"/>
      <c r="E26" s="6"/>
    </row>
    <row r="27" spans="1:5" ht="30.95" customHeight="1" x14ac:dyDescent="0.25">
      <c r="A27" s="5"/>
      <c r="B27" s="5"/>
      <c r="C27" s="5"/>
      <c r="D27" s="5"/>
      <c r="E27" s="6"/>
    </row>
    <row r="28" spans="1:5" ht="30.95" customHeight="1" x14ac:dyDescent="0.25">
      <c r="A28" s="5"/>
      <c r="B28" s="5"/>
      <c r="C28" s="5"/>
      <c r="D28" s="5"/>
      <c r="E28" s="6"/>
    </row>
    <row r="29" spans="1:5" ht="30.95" customHeight="1" x14ac:dyDescent="0.25">
      <c r="A29" s="5"/>
      <c r="B29" s="5"/>
      <c r="C29" s="5"/>
      <c r="D29" s="5"/>
      <c r="E29" s="6"/>
    </row>
    <row r="30" spans="1:5" ht="30.95" customHeight="1" x14ac:dyDescent="0.25">
      <c r="A30" s="5"/>
      <c r="B30" s="5"/>
      <c r="C30" s="5"/>
      <c r="D30" s="5"/>
      <c r="E30" s="6"/>
    </row>
    <row r="31" spans="1:5" ht="30.95" customHeight="1" x14ac:dyDescent="0.25">
      <c r="A31" s="5"/>
      <c r="B31" s="5"/>
      <c r="C31" s="5"/>
      <c r="D31" s="5"/>
      <c r="E31" s="6"/>
    </row>
    <row r="32" spans="1:5" ht="30.95" customHeight="1" x14ac:dyDescent="0.25">
      <c r="A32" s="5"/>
      <c r="B32" s="5"/>
      <c r="C32" s="5"/>
      <c r="D32" s="5"/>
      <c r="E32" s="6"/>
    </row>
    <row r="33" spans="1:5" ht="30.95" customHeight="1" x14ac:dyDescent="0.25">
      <c r="A33" s="5"/>
      <c r="B33" s="5"/>
      <c r="C33" s="5"/>
      <c r="D33" s="5"/>
      <c r="E33" s="6"/>
    </row>
    <row r="34" spans="1:5" ht="30.95" customHeight="1" x14ac:dyDescent="0.25">
      <c r="A34" s="5"/>
      <c r="B34" s="5"/>
      <c r="C34" s="5"/>
      <c r="D34" s="5"/>
      <c r="E34" s="6"/>
    </row>
    <row r="35" spans="1:5" ht="30.95" customHeight="1" x14ac:dyDescent="0.25">
      <c r="A35" s="5"/>
      <c r="B35" s="5"/>
      <c r="C35" s="5"/>
      <c r="D35" s="5"/>
      <c r="E35" s="6"/>
    </row>
    <row r="36" spans="1:5" ht="30.95" customHeight="1" x14ac:dyDescent="0.25">
      <c r="A36" s="5"/>
      <c r="B36" s="5"/>
      <c r="C36" s="5"/>
      <c r="D36" s="5"/>
      <c r="E36" s="6"/>
    </row>
    <row r="37" spans="1:5" ht="30.95" customHeight="1" x14ac:dyDescent="0.25">
      <c r="A37" s="5"/>
      <c r="B37" s="5"/>
      <c r="C37" s="5"/>
      <c r="D37" s="5"/>
      <c r="E37" s="6"/>
    </row>
    <row r="38" spans="1:5" ht="30.95" customHeight="1" x14ac:dyDescent="0.25">
      <c r="A38" s="5"/>
      <c r="B38" s="5"/>
      <c r="C38" s="5"/>
      <c r="D38" s="5"/>
      <c r="E38" s="6"/>
    </row>
    <row r="39" spans="1:5" ht="30.95" customHeight="1" x14ac:dyDescent="0.25">
      <c r="A39" s="5"/>
      <c r="B39" s="5"/>
      <c r="C39" s="5"/>
      <c r="D39" s="5"/>
      <c r="E39" s="6"/>
    </row>
    <row r="40" spans="1:5" ht="30.95" customHeight="1" x14ac:dyDescent="0.25">
      <c r="A40" s="5"/>
      <c r="B40" s="5"/>
      <c r="C40" s="5"/>
      <c r="D40" s="5"/>
      <c r="E40" s="6"/>
    </row>
    <row r="41" spans="1:5" ht="30.95" customHeight="1" x14ac:dyDescent="0.25">
      <c r="A41" s="5"/>
      <c r="B41" s="5"/>
      <c r="C41" s="5"/>
      <c r="D41" s="5"/>
      <c r="E41" s="6"/>
    </row>
    <row r="42" spans="1:5" ht="30.95" customHeight="1" x14ac:dyDescent="0.25"/>
    <row r="43" spans="1:5" ht="30.95" customHeight="1" x14ac:dyDescent="0.25">
      <c r="A43" s="1"/>
    </row>
    <row r="44" spans="1:5" ht="15.75" customHeight="1" x14ac:dyDescent="0.25"/>
    <row r="45" spans="1:5" ht="15.75" customHeight="1" x14ac:dyDescent="0.25"/>
    <row r="46" spans="1:5" ht="15.75" customHeight="1" x14ac:dyDescent="0.25"/>
    <row r="47" spans="1:5" ht="15.75" customHeight="1" x14ac:dyDescent="0.25"/>
    <row r="48" spans="1:5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rintOptions horizontalCentered="1"/>
  <pageMargins left="0.75" right="0.75" top="1" bottom="1" header="0" footer="0"/>
  <pageSetup paperSize="9" fitToHeight="0" orientation="landscape"/>
  <headerFooter>
    <oddFooter>&amp;CCampus 24/7 · Day22 · Giả định / chưa pilot&amp;RTrang &amp;P / &amp;N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C64"/>
  <sheetViews>
    <sheetView showGridLines="0" workbookViewId="0">
      <pane xSplit="1" ySplit="4" topLeftCell="B5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43" customWidth="1"/>
    <col min="2" max="2" width="58" customWidth="1"/>
    <col min="3" max="3" width="93" customWidth="1"/>
  </cols>
  <sheetData>
    <row r="1" spans="1:3" ht="42.95" customHeight="1" x14ac:dyDescent="0.25">
      <c r="A1" s="50" t="s">
        <v>461</v>
      </c>
      <c r="B1" s="51"/>
      <c r="C1" s="51"/>
    </row>
    <row r="2" spans="1:3" ht="56.1" customHeight="1" x14ac:dyDescent="0.25">
      <c r="A2" s="16" t="s">
        <v>462</v>
      </c>
      <c r="B2" s="52" t="s">
        <v>51</v>
      </c>
      <c r="C2" s="16" t="s">
        <v>463</v>
      </c>
    </row>
    <row r="3" spans="1:3" ht="56.1" customHeight="1" x14ac:dyDescent="0.25">
      <c r="A3" s="16" t="s">
        <v>464</v>
      </c>
      <c r="B3" s="52" t="s">
        <v>465</v>
      </c>
      <c r="C3" s="16" t="s">
        <v>466</v>
      </c>
    </row>
    <row r="4" spans="1:3" ht="56.1" customHeight="1" x14ac:dyDescent="0.25">
      <c r="A4" s="16" t="s">
        <v>467</v>
      </c>
      <c r="B4" s="52" t="s">
        <v>468</v>
      </c>
      <c r="C4" s="16" t="s">
        <v>469</v>
      </c>
    </row>
    <row r="5" spans="1:3" ht="56.1" customHeight="1" x14ac:dyDescent="0.25">
      <c r="A5" s="16" t="s">
        <v>470</v>
      </c>
      <c r="B5" s="52">
        <v>1000</v>
      </c>
      <c r="C5" s="16" t="s">
        <v>471</v>
      </c>
    </row>
    <row r="6" spans="1:3" ht="56.1" customHeight="1" x14ac:dyDescent="0.25">
      <c r="A6" s="16" t="s">
        <v>472</v>
      </c>
      <c r="B6" s="53">
        <v>0.8</v>
      </c>
      <c r="C6" s="16" t="s">
        <v>473</v>
      </c>
    </row>
    <row r="7" spans="1:3" ht="56.1" customHeight="1" x14ac:dyDescent="0.25">
      <c r="A7" s="16" t="s">
        <v>474</v>
      </c>
      <c r="B7" s="52">
        <v>100</v>
      </c>
      <c r="C7" s="16" t="s">
        <v>475</v>
      </c>
    </row>
    <row r="8" spans="1:3" ht="56.1" customHeight="1" x14ac:dyDescent="0.25">
      <c r="A8" s="16" t="s">
        <v>476</v>
      </c>
      <c r="B8" s="52">
        <v>0.15</v>
      </c>
      <c r="C8" s="16" t="s">
        <v>477</v>
      </c>
    </row>
    <row r="9" spans="1:3" ht="56.1" customHeight="1" x14ac:dyDescent="0.25">
      <c r="A9" s="16" t="s">
        <v>478</v>
      </c>
      <c r="B9" s="52">
        <v>15</v>
      </c>
      <c r="C9" s="16" t="s">
        <v>479</v>
      </c>
    </row>
    <row r="10" spans="1:3" ht="56.1" customHeight="1" x14ac:dyDescent="0.25">
      <c r="A10" s="16" t="s">
        <v>480</v>
      </c>
      <c r="B10" s="52">
        <v>3</v>
      </c>
      <c r="C10" s="16" t="s">
        <v>481</v>
      </c>
    </row>
    <row r="11" spans="1:3" ht="56.1" customHeight="1" x14ac:dyDescent="0.25">
      <c r="A11" s="16" t="s">
        <v>482</v>
      </c>
      <c r="B11" s="52">
        <v>6</v>
      </c>
      <c r="C11" s="16" t="s">
        <v>483</v>
      </c>
    </row>
    <row r="12" spans="1:3" ht="56.1" customHeight="1" x14ac:dyDescent="0.25">
      <c r="A12" s="16" t="s">
        <v>484</v>
      </c>
      <c r="B12" s="52">
        <v>160</v>
      </c>
      <c r="C12" s="16" t="s">
        <v>485</v>
      </c>
    </row>
    <row r="13" spans="1:3" ht="56.1" customHeight="1" x14ac:dyDescent="0.25">
      <c r="A13" s="16" t="s">
        <v>486</v>
      </c>
      <c r="B13" s="52">
        <v>30</v>
      </c>
      <c r="C13" s="16" t="s">
        <v>487</v>
      </c>
    </row>
    <row r="14" spans="1:3" ht="56.1" customHeight="1" x14ac:dyDescent="0.25">
      <c r="A14" s="16" t="s">
        <v>488</v>
      </c>
      <c r="B14" s="52">
        <v>5.0000000000000001E-3</v>
      </c>
      <c r="C14" s="16" t="s">
        <v>489</v>
      </c>
    </row>
    <row r="15" spans="1:3" ht="56.1" customHeight="1" x14ac:dyDescent="0.25">
      <c r="A15" s="16" t="s">
        <v>490</v>
      </c>
      <c r="B15" s="52">
        <v>10</v>
      </c>
      <c r="C15" s="16" t="s">
        <v>491</v>
      </c>
    </row>
    <row r="16" spans="1:3" ht="56.1" customHeight="1" x14ac:dyDescent="0.25">
      <c r="A16" s="16" t="s">
        <v>492</v>
      </c>
      <c r="B16" s="52">
        <v>4000</v>
      </c>
      <c r="C16" s="16" t="s">
        <v>493</v>
      </c>
    </row>
    <row r="17" spans="1:3" ht="56.1" customHeight="1" x14ac:dyDescent="0.25">
      <c r="A17" s="16" t="s">
        <v>494</v>
      </c>
      <c r="B17" s="52">
        <v>0.02</v>
      </c>
      <c r="C17" s="16" t="s">
        <v>495</v>
      </c>
    </row>
    <row r="18" spans="1:3" ht="56.1" customHeight="1" x14ac:dyDescent="0.25">
      <c r="A18" s="16" t="s">
        <v>496</v>
      </c>
      <c r="B18" s="52">
        <v>0.15</v>
      </c>
      <c r="C18" s="16" t="s">
        <v>497</v>
      </c>
    </row>
    <row r="19" spans="1:3" ht="56.1" customHeight="1" x14ac:dyDescent="0.25">
      <c r="A19" s="16" t="s">
        <v>498</v>
      </c>
      <c r="B19" s="52">
        <v>0.6</v>
      </c>
      <c r="C19" s="16" t="s">
        <v>497</v>
      </c>
    </row>
    <row r="20" spans="1:3" ht="56.1" customHeight="1" x14ac:dyDescent="0.25">
      <c r="A20" s="16" t="s">
        <v>499</v>
      </c>
      <c r="B20" s="52">
        <v>7.4999999999999997E-2</v>
      </c>
      <c r="C20" s="16" t="s">
        <v>500</v>
      </c>
    </row>
    <row r="21" spans="1:3" ht="56.1" customHeight="1" x14ac:dyDescent="0.25">
      <c r="A21" s="16" t="s">
        <v>501</v>
      </c>
      <c r="B21" s="30">
        <f>B9-B10</f>
        <v>12</v>
      </c>
      <c r="C21" s="16" t="s">
        <v>502</v>
      </c>
    </row>
    <row r="22" spans="1:3" ht="56.1" customHeight="1" x14ac:dyDescent="0.25">
      <c r="A22" s="16" t="s">
        <v>503</v>
      </c>
      <c r="B22" s="30">
        <f>'1_Cost_Job'!B11*B21/60*B11</f>
        <v>960</v>
      </c>
      <c r="C22" s="16" t="s">
        <v>504</v>
      </c>
    </row>
    <row r="23" spans="1:3" ht="56.1" customHeight="1" x14ac:dyDescent="0.25">
      <c r="A23" s="16" t="s">
        <v>505</v>
      </c>
      <c r="B23" s="52">
        <v>40</v>
      </c>
      <c r="C23" s="16" t="s">
        <v>506</v>
      </c>
    </row>
    <row r="24" spans="1:3" ht="56.1" customHeight="1" x14ac:dyDescent="0.25">
      <c r="A24" s="16" t="s">
        <v>507</v>
      </c>
      <c r="B24" s="52">
        <v>6</v>
      </c>
      <c r="C24" s="16" t="s">
        <v>508</v>
      </c>
    </row>
    <row r="25" spans="1:3" ht="56.1" customHeight="1" x14ac:dyDescent="0.25">
      <c r="A25" s="16" t="s">
        <v>509</v>
      </c>
      <c r="B25" s="52">
        <v>4000</v>
      </c>
      <c r="C25" s="16" t="s">
        <v>510</v>
      </c>
    </row>
    <row r="26" spans="1:3" ht="56.1" customHeight="1" x14ac:dyDescent="0.25">
      <c r="A26" s="16" t="s">
        <v>87</v>
      </c>
      <c r="B26" s="52">
        <v>600</v>
      </c>
      <c r="C26" s="16" t="s">
        <v>511</v>
      </c>
    </row>
    <row r="27" spans="1:3" ht="56.1" customHeight="1" x14ac:dyDescent="0.25">
      <c r="A27" s="16" t="s">
        <v>512</v>
      </c>
      <c r="B27" s="53">
        <v>0.08</v>
      </c>
      <c r="C27" s="16" t="s">
        <v>513</v>
      </c>
    </row>
    <row r="28" spans="1:3" ht="56.1" customHeight="1" x14ac:dyDescent="0.25">
      <c r="A28" s="16" t="s">
        <v>514</v>
      </c>
      <c r="B28" s="53">
        <v>0.05</v>
      </c>
      <c r="C28" s="16" t="s">
        <v>515</v>
      </c>
    </row>
    <row r="29" spans="1:3" ht="56.1" customHeight="1" x14ac:dyDescent="0.25">
      <c r="A29" s="16" t="s">
        <v>516</v>
      </c>
      <c r="B29" s="52">
        <v>3</v>
      </c>
      <c r="C29" s="16" t="s">
        <v>517</v>
      </c>
    </row>
    <row r="30" spans="1:3" ht="56.1" customHeight="1" x14ac:dyDescent="0.25">
      <c r="A30" s="16" t="s">
        <v>518</v>
      </c>
      <c r="B30" s="52">
        <v>500000</v>
      </c>
      <c r="C30" s="16" t="s">
        <v>519</v>
      </c>
    </row>
    <row r="31" spans="1:3" ht="56.1" customHeight="1" x14ac:dyDescent="0.25">
      <c r="A31" s="16" t="s">
        <v>520</v>
      </c>
      <c r="B31" s="52">
        <v>250</v>
      </c>
      <c r="C31" s="16" t="s">
        <v>521</v>
      </c>
    </row>
    <row r="32" spans="1:3" ht="56.1" customHeight="1" x14ac:dyDescent="0.25">
      <c r="A32" s="16" t="s">
        <v>522</v>
      </c>
      <c r="B32" s="52">
        <v>8</v>
      </c>
      <c r="C32" s="16" t="s">
        <v>523</v>
      </c>
    </row>
    <row r="33" spans="1:3" ht="56.1" customHeight="1" x14ac:dyDescent="0.25">
      <c r="A33" s="16" t="s">
        <v>524</v>
      </c>
      <c r="B33" s="52">
        <v>10</v>
      </c>
      <c r="C33" s="16" t="s">
        <v>525</v>
      </c>
    </row>
    <row r="34" spans="1:3" ht="56.1" customHeight="1" x14ac:dyDescent="0.25">
      <c r="A34" s="16" t="s">
        <v>526</v>
      </c>
      <c r="B34" s="52">
        <v>20</v>
      </c>
      <c r="C34" s="16" t="s">
        <v>527</v>
      </c>
    </row>
    <row r="35" spans="1:3" ht="56.1" customHeight="1" x14ac:dyDescent="0.25">
      <c r="A35" s="16" t="s">
        <v>288</v>
      </c>
      <c r="B35" s="53">
        <v>0.25</v>
      </c>
      <c r="C35" s="16" t="s">
        <v>528</v>
      </c>
    </row>
    <row r="36" spans="1:3" ht="56.1" customHeight="1" x14ac:dyDescent="0.25">
      <c r="A36" s="16" t="s">
        <v>529</v>
      </c>
      <c r="B36" s="52">
        <v>8</v>
      </c>
      <c r="C36" s="16" t="s">
        <v>530</v>
      </c>
    </row>
    <row r="37" spans="1:3" ht="56.1" customHeight="1" x14ac:dyDescent="0.25">
      <c r="A37" s="16" t="s">
        <v>531</v>
      </c>
      <c r="B37" s="30">
        <f>B36*B33</f>
        <v>80</v>
      </c>
      <c r="C37" s="16" t="s">
        <v>532</v>
      </c>
    </row>
    <row r="38" spans="1:3" ht="56.1" customHeight="1" x14ac:dyDescent="0.25">
      <c r="A38" s="16" t="s">
        <v>533</v>
      </c>
      <c r="B38" s="52">
        <v>24</v>
      </c>
      <c r="C38" s="16" t="s">
        <v>534</v>
      </c>
    </row>
    <row r="39" spans="1:3" ht="56.1" customHeight="1" x14ac:dyDescent="0.25">
      <c r="A39" s="16" t="s">
        <v>535</v>
      </c>
      <c r="B39" s="52">
        <v>35</v>
      </c>
      <c r="C39" s="16" t="s">
        <v>536</v>
      </c>
    </row>
    <row r="40" spans="1:3" ht="56.1" customHeight="1" x14ac:dyDescent="0.25">
      <c r="A40" s="16" t="s">
        <v>537</v>
      </c>
      <c r="B40" s="52">
        <v>160</v>
      </c>
      <c r="C40" s="16" t="s">
        <v>538</v>
      </c>
    </row>
    <row r="41" spans="1:3" ht="56.1" customHeight="1" x14ac:dyDescent="0.25">
      <c r="A41" s="16" t="s">
        <v>539</v>
      </c>
      <c r="B41" s="30">
        <f>B38*B39+B40</f>
        <v>1000</v>
      </c>
      <c r="C41" s="16" t="s">
        <v>540</v>
      </c>
    </row>
    <row r="42" spans="1:3" ht="56.1" customHeight="1" x14ac:dyDescent="0.25">
      <c r="A42" s="16" t="s">
        <v>541</v>
      </c>
      <c r="B42" s="30">
        <f>B41/B35+B37</f>
        <v>4080</v>
      </c>
      <c r="C42" s="16" t="s">
        <v>542</v>
      </c>
    </row>
    <row r="43" spans="1:3" ht="56.1" customHeight="1" x14ac:dyDescent="0.25">
      <c r="A43" s="16" t="s">
        <v>543</v>
      </c>
      <c r="B43" s="52" t="s">
        <v>544</v>
      </c>
      <c r="C43" s="16" t="s">
        <v>545</v>
      </c>
    </row>
    <row r="44" spans="1:3" ht="56.1" customHeight="1" x14ac:dyDescent="0.25">
      <c r="A44" s="16" t="s">
        <v>546</v>
      </c>
      <c r="B44" s="52" t="s">
        <v>547</v>
      </c>
      <c r="C44" s="16" t="s">
        <v>548</v>
      </c>
    </row>
    <row r="45" spans="1:3" ht="56.1" customHeight="1" x14ac:dyDescent="0.25">
      <c r="A45" s="16" t="s">
        <v>549</v>
      </c>
      <c r="B45" s="52" t="s">
        <v>550</v>
      </c>
      <c r="C45" s="16" t="s">
        <v>551</v>
      </c>
    </row>
    <row r="46" spans="1:3" ht="56.1" customHeight="1" x14ac:dyDescent="0.25">
      <c r="A46" s="16" t="s">
        <v>552</v>
      </c>
      <c r="B46" s="52" t="s">
        <v>553</v>
      </c>
      <c r="C46" s="16" t="s">
        <v>554</v>
      </c>
    </row>
    <row r="47" spans="1:3" ht="56.1" customHeight="1" x14ac:dyDescent="0.25">
      <c r="A47" s="16" t="s">
        <v>555</v>
      </c>
      <c r="B47" s="52" t="s">
        <v>553</v>
      </c>
      <c r="C47" s="16" t="s">
        <v>556</v>
      </c>
    </row>
    <row r="48" spans="1:3" ht="56.1" customHeight="1" x14ac:dyDescent="0.25">
      <c r="A48" s="16" t="s">
        <v>557</v>
      </c>
      <c r="B48" s="52" t="s">
        <v>51</v>
      </c>
      <c r="C48" s="16" t="s">
        <v>558</v>
      </c>
    </row>
    <row r="49" spans="1:3" ht="56.1" customHeight="1" x14ac:dyDescent="0.25">
      <c r="A49" s="16" t="s">
        <v>559</v>
      </c>
      <c r="B49" s="52" t="s">
        <v>560</v>
      </c>
      <c r="C49" s="16" t="s">
        <v>561</v>
      </c>
    </row>
    <row r="50" spans="1:3" ht="56.1" customHeight="1" x14ac:dyDescent="0.25">
      <c r="A50" s="16" t="s">
        <v>562</v>
      </c>
      <c r="B50" s="52">
        <v>26100</v>
      </c>
      <c r="C50" s="16" t="s">
        <v>563</v>
      </c>
    </row>
    <row r="51" spans="1:3" ht="56.1" customHeight="1" x14ac:dyDescent="0.25">
      <c r="A51" s="16" t="s">
        <v>564</v>
      </c>
      <c r="B51" s="52">
        <v>100</v>
      </c>
      <c r="C51" s="16" t="s">
        <v>565</v>
      </c>
    </row>
    <row r="52" spans="1:3" ht="56.1" customHeight="1" x14ac:dyDescent="0.25">
      <c r="A52" s="16" t="s">
        <v>566</v>
      </c>
      <c r="B52" s="52">
        <v>3</v>
      </c>
      <c r="C52" s="16" t="s">
        <v>567</v>
      </c>
    </row>
    <row r="53" spans="1:3" ht="56.1" customHeight="1" x14ac:dyDescent="0.25">
      <c r="A53" s="16" t="s">
        <v>568</v>
      </c>
      <c r="B53" s="52" t="s">
        <v>569</v>
      </c>
      <c r="C53" s="16" t="s">
        <v>570</v>
      </c>
    </row>
    <row r="54" spans="1:3" ht="56.1" customHeight="1" x14ac:dyDescent="0.25">
      <c r="A54" s="16" t="s">
        <v>571</v>
      </c>
      <c r="B54" s="52" t="s">
        <v>572</v>
      </c>
      <c r="C54" s="16" t="s">
        <v>573</v>
      </c>
    </row>
    <row r="55" spans="1:3" ht="56.1" customHeight="1" x14ac:dyDescent="0.25">
      <c r="A55" s="16" t="s">
        <v>574</v>
      </c>
      <c r="B55" s="52" t="s">
        <v>575</v>
      </c>
      <c r="C55" s="16" t="s">
        <v>576</v>
      </c>
    </row>
    <row r="56" spans="1:3" ht="56.1" customHeight="1" x14ac:dyDescent="0.25">
      <c r="A56" s="16" t="s">
        <v>577</v>
      </c>
      <c r="B56" s="52" t="s">
        <v>578</v>
      </c>
      <c r="C56" s="16" t="s">
        <v>579</v>
      </c>
    </row>
    <row r="57" spans="1:3" ht="56.1" customHeight="1" x14ac:dyDescent="0.25">
      <c r="A57" s="16" t="s">
        <v>580</v>
      </c>
      <c r="B57" s="52" t="s">
        <v>581</v>
      </c>
      <c r="C57" s="16" t="s">
        <v>582</v>
      </c>
    </row>
    <row r="58" spans="1:3" ht="56.1" customHeight="1" x14ac:dyDescent="0.25">
      <c r="A58" s="16" t="s">
        <v>583</v>
      </c>
      <c r="B58" s="52">
        <v>3</v>
      </c>
      <c r="C58" s="16" t="s">
        <v>584</v>
      </c>
    </row>
    <row r="59" spans="1:3" ht="56.1" customHeight="1" x14ac:dyDescent="0.25">
      <c r="A59" s="16" t="s">
        <v>585</v>
      </c>
      <c r="B59" s="52">
        <v>2</v>
      </c>
      <c r="C59" s="16" t="s">
        <v>586</v>
      </c>
    </row>
    <row r="60" spans="1:3" ht="56.1" customHeight="1" x14ac:dyDescent="0.25">
      <c r="A60" s="16" t="s">
        <v>587</v>
      </c>
      <c r="B60" s="52" t="s">
        <v>588</v>
      </c>
      <c r="C60" s="16" t="s">
        <v>589</v>
      </c>
    </row>
    <row r="61" spans="1:3" ht="56.1" customHeight="1" x14ac:dyDescent="0.25">
      <c r="A61" s="16" t="s">
        <v>590</v>
      </c>
      <c r="B61" s="52">
        <v>50</v>
      </c>
      <c r="C61" s="16" t="s">
        <v>591</v>
      </c>
    </row>
    <row r="62" spans="1:3" ht="56.1" customHeight="1" x14ac:dyDescent="0.25">
      <c r="A62" s="16" t="s">
        <v>592</v>
      </c>
      <c r="B62" s="52">
        <v>15</v>
      </c>
      <c r="C62" s="16" t="s">
        <v>593</v>
      </c>
    </row>
    <row r="63" spans="1:3" ht="56.1" customHeight="1" x14ac:dyDescent="0.25">
      <c r="A63" s="16" t="s">
        <v>594</v>
      </c>
      <c r="B63" s="53">
        <v>0.8</v>
      </c>
      <c r="C63" s="16" t="s">
        <v>595</v>
      </c>
    </row>
    <row r="64" spans="1:3" ht="56.1" customHeight="1" x14ac:dyDescent="0.25">
      <c r="A64" s="16" t="s">
        <v>596</v>
      </c>
      <c r="B64" s="53">
        <v>0.25</v>
      </c>
      <c r="C64" s="16" t="s">
        <v>597</v>
      </c>
    </row>
  </sheetData>
  <autoFilter ref="A4:C64" xr:uid="{00000000-0009-0000-0000-000007000000}"/>
  <printOptions horizontalCentered="1"/>
  <pageMargins left="0.75" right="0.75" top="1" bottom="1" header="0.5" footer="0.5"/>
  <pageSetup paperSize="9" fitToHeight="0" orientation="landscape"/>
  <headerFooter>
    <oddFooter>&amp;CCampus 24/7 · Day22 · Giả định / chưa pilot&amp;RTrang &amp;P / &amp;N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1:P28"/>
  <sheetViews>
    <sheetView showGridLines="0" workbookViewId="0">
      <pane xSplit="1" ySplit="4" topLeftCell="B5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44" customWidth="1"/>
    <col min="2" max="16" width="18" customWidth="1"/>
  </cols>
  <sheetData>
    <row r="1" spans="1:16" ht="42.95" customHeight="1" x14ac:dyDescent="0.25">
      <c r="A1" s="58" t="s">
        <v>598</v>
      </c>
      <c r="B1" s="59"/>
      <c r="C1" s="59"/>
      <c r="D1" s="59"/>
      <c r="E1" s="59"/>
      <c r="F1" s="59"/>
      <c r="G1" s="59"/>
      <c r="H1" s="59"/>
      <c r="I1" s="59"/>
      <c r="J1" s="59"/>
      <c r="K1" s="59"/>
      <c r="L1" s="59"/>
      <c r="M1" s="59"/>
      <c r="N1" s="59"/>
      <c r="O1" s="59"/>
      <c r="P1" s="59"/>
    </row>
    <row r="2" spans="1:16" ht="32.1" customHeight="1" x14ac:dyDescent="0.25">
      <c r="A2" s="56" t="s">
        <v>599</v>
      </c>
      <c r="B2" s="57"/>
      <c r="C2" s="57"/>
      <c r="D2" s="57"/>
      <c r="E2" s="57"/>
      <c r="F2" s="57"/>
      <c r="G2" s="57"/>
      <c r="H2" s="57"/>
      <c r="I2" s="57"/>
      <c r="J2" s="57"/>
      <c r="K2" s="57"/>
      <c r="L2" s="57"/>
      <c r="M2" s="57"/>
      <c r="N2" s="57"/>
      <c r="O2" s="57"/>
      <c r="P2" s="57"/>
    </row>
    <row r="4" spans="1:16" ht="48" customHeight="1" x14ac:dyDescent="0.25">
      <c r="A4" s="16" t="s">
        <v>600</v>
      </c>
      <c r="B4" s="16" t="s">
        <v>601</v>
      </c>
      <c r="C4" s="16" t="s">
        <v>602</v>
      </c>
      <c r="D4" s="16" t="s">
        <v>603</v>
      </c>
      <c r="E4" s="16" t="s">
        <v>604</v>
      </c>
      <c r="F4" s="16" t="s">
        <v>605</v>
      </c>
      <c r="G4" s="16" t="s">
        <v>606</v>
      </c>
      <c r="H4" s="16" t="s">
        <v>607</v>
      </c>
      <c r="I4" s="16" t="s">
        <v>608</v>
      </c>
      <c r="J4" s="16" t="s">
        <v>609</v>
      </c>
      <c r="K4" s="16" t="s">
        <v>610</v>
      </c>
      <c r="L4" s="16" t="s">
        <v>611</v>
      </c>
      <c r="M4" s="16" t="s">
        <v>612</v>
      </c>
      <c r="N4" s="16" t="s">
        <v>613</v>
      </c>
      <c r="O4" s="16" t="s">
        <v>614</v>
      </c>
      <c r="P4" s="16" t="s">
        <v>615</v>
      </c>
    </row>
    <row r="5" spans="1:16" ht="44.1" customHeight="1" x14ac:dyDescent="0.25">
      <c r="A5" s="16" t="s">
        <v>616</v>
      </c>
      <c r="B5" s="16">
        <v>1000</v>
      </c>
      <c r="C5" s="54">
        <v>0.8</v>
      </c>
      <c r="D5" s="54">
        <v>0.05</v>
      </c>
      <c r="E5" s="54">
        <v>0.08</v>
      </c>
      <c r="F5" s="16">
        <v>10</v>
      </c>
      <c r="G5" s="16">
        <v>1</v>
      </c>
      <c r="H5" s="16">
        <v>30</v>
      </c>
      <c r="I5" s="55">
        <f t="shared" ref="I5:I16" si="0">B5*C5</f>
        <v>800</v>
      </c>
      <c r="J5" s="55">
        <f>'7_Assumptions'!$B$7+'7_Assumptions'!$B$8*I5</f>
        <v>220</v>
      </c>
      <c r="K5" s="55">
        <f>B5*('1_Cost_Job'!$B$31*G5*(1+E5)+'7_Assumptions'!$B$14+'7_Assumptions'!$B$16*'7_Assumptions'!$B$17/1000000+D5*'7_Assumptions'!$B$29/60*'7_Assumptions'!$B$11)+H5+F5</f>
        <v>66.30080000000001</v>
      </c>
      <c r="L5" s="55">
        <f t="shared" ref="L5:L16" si="1">K5/I5</f>
        <v>8.2876000000000005E-2</v>
      </c>
      <c r="M5" s="41">
        <f t="shared" ref="M5:M14" si="2">1-K5/J5</f>
        <v>0.69863272727272729</v>
      </c>
      <c r="N5" s="41">
        <f>1-(K5+'7_Assumptions'!$B$23)/J5</f>
        <v>0.51681454545454542</v>
      </c>
      <c r="O5" s="55">
        <f t="shared" ref="O5:O16" si="3">J5/I5</f>
        <v>0.27500000000000002</v>
      </c>
      <c r="P5" s="55">
        <f t="shared" ref="P5:P16" si="4">J5/K5</f>
        <v>3.318210338336792</v>
      </c>
    </row>
    <row r="6" spans="1:16" ht="44.1" customHeight="1" x14ac:dyDescent="0.25">
      <c r="A6" s="16" t="s">
        <v>617</v>
      </c>
      <c r="B6" s="16">
        <v>1000</v>
      </c>
      <c r="C6" s="54">
        <v>0.5</v>
      </c>
      <c r="D6" s="54">
        <v>0.05</v>
      </c>
      <c r="E6" s="54">
        <v>0.08</v>
      </c>
      <c r="F6" s="16">
        <v>10</v>
      </c>
      <c r="G6" s="16">
        <v>1</v>
      </c>
      <c r="H6" s="16">
        <v>30</v>
      </c>
      <c r="I6" s="55">
        <f t="shared" si="0"/>
        <v>500</v>
      </c>
      <c r="J6" s="55">
        <f>'7_Assumptions'!$B$7+'7_Assumptions'!$B$8*I6</f>
        <v>175</v>
      </c>
      <c r="K6" s="55">
        <f>B6*('1_Cost_Job'!$B$31*G6*(1+E6)+'7_Assumptions'!$B$14+'7_Assumptions'!$B$16*'7_Assumptions'!$B$17/1000000+D6*'7_Assumptions'!$B$29/60*'7_Assumptions'!$B$11)+H6+F6</f>
        <v>66.30080000000001</v>
      </c>
      <c r="L6" s="55">
        <f t="shared" si="1"/>
        <v>0.13260160000000001</v>
      </c>
      <c r="M6" s="41">
        <f t="shared" si="2"/>
        <v>0.62113828571428564</v>
      </c>
      <c r="N6" s="41">
        <f>1-(K6+'7_Assumptions'!$B$23)/J6</f>
        <v>0.39256685714285711</v>
      </c>
      <c r="O6" s="55">
        <f t="shared" si="3"/>
        <v>0.35</v>
      </c>
      <c r="P6" s="55">
        <f t="shared" si="4"/>
        <v>2.6394854964042662</v>
      </c>
    </row>
    <row r="7" spans="1:16" ht="44.1" customHeight="1" x14ac:dyDescent="0.25">
      <c r="A7" s="16" t="s">
        <v>618</v>
      </c>
      <c r="B7" s="16">
        <v>1000</v>
      </c>
      <c r="C7" s="54">
        <v>0.2</v>
      </c>
      <c r="D7" s="54">
        <v>0.05</v>
      </c>
      <c r="E7" s="54">
        <v>0.08</v>
      </c>
      <c r="F7" s="16">
        <v>10</v>
      </c>
      <c r="G7" s="16">
        <v>1</v>
      </c>
      <c r="H7" s="16">
        <v>30</v>
      </c>
      <c r="I7" s="55">
        <f t="shared" si="0"/>
        <v>200</v>
      </c>
      <c r="J7" s="55">
        <f>'7_Assumptions'!$B$7+'7_Assumptions'!$B$8*I7</f>
        <v>130</v>
      </c>
      <c r="K7" s="55">
        <f>B7*('1_Cost_Job'!$B$31*G7*(1+E7)+'7_Assumptions'!$B$14+'7_Assumptions'!$B$16*'7_Assumptions'!$B$17/1000000+D7*'7_Assumptions'!$B$29/60*'7_Assumptions'!$B$11)+H7+F7</f>
        <v>66.30080000000001</v>
      </c>
      <c r="L7" s="55">
        <f t="shared" si="1"/>
        <v>0.33150400000000002</v>
      </c>
      <c r="M7" s="41">
        <f t="shared" si="2"/>
        <v>0.48999384615384611</v>
      </c>
      <c r="N7" s="41">
        <f>1-(K7+'7_Assumptions'!$B$23)/J7</f>
        <v>0.1823015384615384</v>
      </c>
      <c r="O7" s="55">
        <f t="shared" si="3"/>
        <v>0.65</v>
      </c>
      <c r="P7" s="55">
        <f t="shared" si="4"/>
        <v>1.9607606544717406</v>
      </c>
    </row>
    <row r="8" spans="1:16" ht="44.1" customHeight="1" x14ac:dyDescent="0.25">
      <c r="A8" s="16" t="s">
        <v>619</v>
      </c>
      <c r="B8" s="16">
        <v>1000</v>
      </c>
      <c r="C8" s="54">
        <v>0.8</v>
      </c>
      <c r="D8" s="54">
        <v>0.2</v>
      </c>
      <c r="E8" s="54">
        <v>0.08</v>
      </c>
      <c r="F8" s="16">
        <v>10</v>
      </c>
      <c r="G8" s="16">
        <v>1</v>
      </c>
      <c r="H8" s="16">
        <v>30</v>
      </c>
      <c r="I8" s="55">
        <f t="shared" si="0"/>
        <v>800</v>
      </c>
      <c r="J8" s="55">
        <f>'7_Assumptions'!$B$7+'7_Assumptions'!$B$8*I8</f>
        <v>220</v>
      </c>
      <c r="K8" s="55">
        <f>B8*('1_Cost_Job'!$B$31*G8*(1+E8)+'7_Assumptions'!$B$14+'7_Assumptions'!$B$16*'7_Assumptions'!$B$17/1000000+D8*'7_Assumptions'!$B$29/60*'7_Assumptions'!$B$11)+H8+F8</f>
        <v>111.30080000000001</v>
      </c>
      <c r="L8" s="55">
        <f t="shared" si="1"/>
        <v>0.139126</v>
      </c>
      <c r="M8" s="41">
        <f t="shared" si="2"/>
        <v>0.49408727272727271</v>
      </c>
      <c r="N8" s="41">
        <f>1-(K8+'7_Assumptions'!$B$23)/J8</f>
        <v>0.31226909090909083</v>
      </c>
      <c r="O8" s="55">
        <f t="shared" si="3"/>
        <v>0.27500000000000002</v>
      </c>
      <c r="P8" s="55">
        <f t="shared" si="4"/>
        <v>1.9766255049379697</v>
      </c>
    </row>
    <row r="9" spans="1:16" ht="44.1" customHeight="1" x14ac:dyDescent="0.25">
      <c r="A9" s="16" t="s">
        <v>620</v>
      </c>
      <c r="B9" s="16">
        <v>1000</v>
      </c>
      <c r="C9" s="54">
        <v>0.8</v>
      </c>
      <c r="D9" s="54">
        <v>1</v>
      </c>
      <c r="E9" s="54">
        <v>0.08</v>
      </c>
      <c r="F9" s="16">
        <v>10</v>
      </c>
      <c r="G9" s="16">
        <v>1</v>
      </c>
      <c r="H9" s="16">
        <v>30</v>
      </c>
      <c r="I9" s="55">
        <f t="shared" si="0"/>
        <v>800</v>
      </c>
      <c r="J9" s="55">
        <f>'7_Assumptions'!$B$7+'7_Assumptions'!$B$8*I9</f>
        <v>220</v>
      </c>
      <c r="K9" s="55">
        <f>B9*('1_Cost_Job'!$B$31*G9*(1+E9)+'7_Assumptions'!$B$14+'7_Assumptions'!$B$16*'7_Assumptions'!$B$17/1000000+D9*'7_Assumptions'!$B$29/60*'7_Assumptions'!$B$11)+H9+F9</f>
        <v>351.30080000000004</v>
      </c>
      <c r="L9" s="55">
        <f t="shared" si="1"/>
        <v>0.43912600000000007</v>
      </c>
      <c r="M9" s="41">
        <f t="shared" si="2"/>
        <v>-0.59682181818181834</v>
      </c>
      <c r="N9" s="41">
        <f>1-(K9+'7_Assumptions'!$B$23)/J9</f>
        <v>-0.77864000000000022</v>
      </c>
      <c r="O9" s="55">
        <f t="shared" si="3"/>
        <v>0.27500000000000002</v>
      </c>
      <c r="P9" s="55">
        <f t="shared" si="4"/>
        <v>0.62624394820620954</v>
      </c>
    </row>
    <row r="10" spans="1:16" ht="44.1" customHeight="1" x14ac:dyDescent="0.25">
      <c r="A10" s="16" t="s">
        <v>621</v>
      </c>
      <c r="B10" s="16">
        <v>1000</v>
      </c>
      <c r="C10" s="54">
        <v>0.8</v>
      </c>
      <c r="D10" s="54">
        <v>0.05</v>
      </c>
      <c r="E10" s="54">
        <v>0.08</v>
      </c>
      <c r="F10" s="16">
        <v>10</v>
      </c>
      <c r="G10" s="16">
        <v>2</v>
      </c>
      <c r="H10" s="16">
        <v>30</v>
      </c>
      <c r="I10" s="55">
        <f t="shared" si="0"/>
        <v>800</v>
      </c>
      <c r="J10" s="55">
        <f>'7_Assumptions'!$B$7+'7_Assumptions'!$B$8*I10</f>
        <v>220</v>
      </c>
      <c r="K10" s="55">
        <f>B10*('1_Cost_Job'!$B$31*G10*(1+E10)+'7_Assumptions'!$B$14+'7_Assumptions'!$B$16*'7_Assumptions'!$B$17/1000000+D10*'7_Assumptions'!$B$29/60*'7_Assumptions'!$B$11)+H10+F10</f>
        <v>72.521600000000007</v>
      </c>
      <c r="L10" s="55">
        <f t="shared" si="1"/>
        <v>9.065200000000001E-2</v>
      </c>
      <c r="M10" s="41">
        <f t="shared" si="2"/>
        <v>0.67035636363636364</v>
      </c>
      <c r="N10" s="41">
        <f>1-(K10+'7_Assumptions'!$B$23)/J10</f>
        <v>0.48853818181818176</v>
      </c>
      <c r="O10" s="55">
        <f t="shared" si="3"/>
        <v>0.27500000000000002</v>
      </c>
      <c r="P10" s="55">
        <f t="shared" si="4"/>
        <v>3.0335789613025632</v>
      </c>
    </row>
    <row r="11" spans="1:16" ht="44.1" customHeight="1" x14ac:dyDescent="0.25">
      <c r="A11" s="16" t="s">
        <v>622</v>
      </c>
      <c r="B11" s="16">
        <v>1000</v>
      </c>
      <c r="C11" s="54">
        <v>0.8</v>
      </c>
      <c r="D11" s="54">
        <v>0.05</v>
      </c>
      <c r="E11" s="54">
        <v>0.2</v>
      </c>
      <c r="F11" s="16">
        <v>10</v>
      </c>
      <c r="G11" s="16">
        <v>1</v>
      </c>
      <c r="H11" s="16">
        <v>30</v>
      </c>
      <c r="I11" s="55">
        <f t="shared" si="0"/>
        <v>800</v>
      </c>
      <c r="J11" s="55">
        <f>'7_Assumptions'!$B$7+'7_Assumptions'!$B$8*I11</f>
        <v>220</v>
      </c>
      <c r="K11" s="55">
        <f>B11*('1_Cost_Job'!$B$31*G11*(1+E11)+'7_Assumptions'!$B$14+'7_Assumptions'!$B$16*'7_Assumptions'!$B$17/1000000+D11*'7_Assumptions'!$B$29/60*'7_Assumptions'!$B$11)+H11+F11</f>
        <v>66.992000000000004</v>
      </c>
      <c r="L11" s="55">
        <f t="shared" si="1"/>
        <v>8.3740000000000009E-2</v>
      </c>
      <c r="M11" s="41">
        <f t="shared" si="2"/>
        <v>0.69549090909090905</v>
      </c>
      <c r="N11" s="41">
        <f>1-(K11+'7_Assumptions'!$B$23)/J11</f>
        <v>0.51367272727272728</v>
      </c>
      <c r="O11" s="55">
        <f t="shared" si="3"/>
        <v>0.27500000000000002</v>
      </c>
      <c r="P11" s="55">
        <f t="shared" si="4"/>
        <v>3.2839742058753281</v>
      </c>
    </row>
    <row r="12" spans="1:16" ht="44.1" customHeight="1" x14ac:dyDescent="0.25">
      <c r="A12" s="16" t="s">
        <v>623</v>
      </c>
      <c r="B12" s="16">
        <v>1000</v>
      </c>
      <c r="C12" s="54">
        <v>0.8</v>
      </c>
      <c r="D12" s="54">
        <v>0.05</v>
      </c>
      <c r="E12" s="54">
        <v>0.08</v>
      </c>
      <c r="F12" s="16">
        <v>20</v>
      </c>
      <c r="G12" s="16">
        <v>1</v>
      </c>
      <c r="H12" s="16">
        <v>30</v>
      </c>
      <c r="I12" s="55">
        <f t="shared" si="0"/>
        <v>800</v>
      </c>
      <c r="J12" s="55">
        <f>'7_Assumptions'!$B$7+'7_Assumptions'!$B$8*I12</f>
        <v>220</v>
      </c>
      <c r="K12" s="55">
        <f>B12*('1_Cost_Job'!$B$31*G12*(1+E12)+'7_Assumptions'!$B$14+'7_Assumptions'!$B$16*'7_Assumptions'!$B$17/1000000+D12*'7_Assumptions'!$B$29/60*'7_Assumptions'!$B$11)+H12+F12</f>
        <v>76.30080000000001</v>
      </c>
      <c r="L12" s="55">
        <f t="shared" si="1"/>
        <v>9.5376000000000016E-2</v>
      </c>
      <c r="M12" s="41">
        <f t="shared" si="2"/>
        <v>0.65317818181818177</v>
      </c>
      <c r="N12" s="41">
        <f>1-(K12+'7_Assumptions'!$B$23)/J12</f>
        <v>0.47136</v>
      </c>
      <c r="O12" s="55">
        <f t="shared" si="3"/>
        <v>0.27500000000000002</v>
      </c>
      <c r="P12" s="55">
        <f t="shared" si="4"/>
        <v>2.8833249454789462</v>
      </c>
    </row>
    <row r="13" spans="1:16" ht="44.1" customHeight="1" x14ac:dyDescent="0.25">
      <c r="A13" s="16" t="s">
        <v>624</v>
      </c>
      <c r="B13" s="16">
        <v>500</v>
      </c>
      <c r="C13" s="54">
        <v>0.8</v>
      </c>
      <c r="D13" s="54">
        <v>0.05</v>
      </c>
      <c r="E13" s="54">
        <v>0.08</v>
      </c>
      <c r="F13" s="16">
        <v>10</v>
      </c>
      <c r="G13" s="16">
        <v>1</v>
      </c>
      <c r="H13" s="16">
        <v>30</v>
      </c>
      <c r="I13" s="55">
        <f t="shared" si="0"/>
        <v>400</v>
      </c>
      <c r="J13" s="55">
        <f>'7_Assumptions'!$B$7+'7_Assumptions'!$B$8*I13</f>
        <v>160</v>
      </c>
      <c r="K13" s="55">
        <f>B13*('1_Cost_Job'!$B$31*G13*(1+E13)+'7_Assumptions'!$B$14+'7_Assumptions'!$B$16*'7_Assumptions'!$B$17/1000000+D13*'7_Assumptions'!$B$29/60*'7_Assumptions'!$B$11)+H13+F13</f>
        <v>53.150400000000005</v>
      </c>
      <c r="L13" s="55">
        <f t="shared" si="1"/>
        <v>0.13287600000000002</v>
      </c>
      <c r="M13" s="41">
        <f t="shared" si="2"/>
        <v>0.66781000000000001</v>
      </c>
      <c r="N13" s="41">
        <f>1-(K13+'7_Assumptions'!$B$23)/J13</f>
        <v>0.41781000000000001</v>
      </c>
      <c r="O13" s="55">
        <f t="shared" si="3"/>
        <v>0.4</v>
      </c>
      <c r="P13" s="55">
        <f t="shared" si="4"/>
        <v>3.0103254161774884</v>
      </c>
    </row>
    <row r="14" spans="1:16" ht="44.1" customHeight="1" x14ac:dyDescent="0.25">
      <c r="A14" s="16" t="s">
        <v>625</v>
      </c>
      <c r="B14" s="16">
        <v>2000</v>
      </c>
      <c r="C14" s="54">
        <v>0.8</v>
      </c>
      <c r="D14" s="54">
        <v>0.05</v>
      </c>
      <c r="E14" s="54">
        <v>0.08</v>
      </c>
      <c r="F14" s="16">
        <v>10</v>
      </c>
      <c r="G14" s="16">
        <v>1</v>
      </c>
      <c r="H14" s="16">
        <v>60</v>
      </c>
      <c r="I14" s="55">
        <f t="shared" si="0"/>
        <v>1600</v>
      </c>
      <c r="J14" s="55">
        <f>'7_Assumptions'!$B$7+'7_Assumptions'!$B$8*I14</f>
        <v>340</v>
      </c>
      <c r="K14" s="55">
        <f>B14*('1_Cost_Job'!$B$31*G14*(1+E14)+'7_Assumptions'!$B$14+'7_Assumptions'!$B$16*'7_Assumptions'!$B$17/1000000+D14*'7_Assumptions'!$B$29/60*'7_Assumptions'!$B$11)+H14+F14</f>
        <v>122.6016</v>
      </c>
      <c r="L14" s="55">
        <f t="shared" si="1"/>
        <v>7.6626E-2</v>
      </c>
      <c r="M14" s="41">
        <f t="shared" si="2"/>
        <v>0.63940705882352944</v>
      </c>
      <c r="N14" s="41">
        <f>1-(K14+'7_Assumptions'!$B$23)/J14</f>
        <v>0.52176</v>
      </c>
      <c r="O14" s="55">
        <f t="shared" si="3"/>
        <v>0.21249999999999999</v>
      </c>
      <c r="P14" s="55">
        <f t="shared" si="4"/>
        <v>2.7732101375512226</v>
      </c>
    </row>
    <row r="15" spans="1:16" ht="44.1" customHeight="1" x14ac:dyDescent="0.25">
      <c r="A15" s="16" t="s">
        <v>626</v>
      </c>
      <c r="B15" s="16">
        <v>100</v>
      </c>
      <c r="C15" s="54">
        <v>0.8</v>
      </c>
      <c r="D15" s="54">
        <v>1</v>
      </c>
      <c r="E15" s="54">
        <v>0.08</v>
      </c>
      <c r="F15" s="16">
        <v>10</v>
      </c>
      <c r="G15" s="16">
        <v>1</v>
      </c>
      <c r="H15" s="16">
        <v>30</v>
      </c>
      <c r="I15" s="55">
        <f t="shared" si="0"/>
        <v>80</v>
      </c>
      <c r="J15" s="55">
        <f>0</f>
        <v>0</v>
      </c>
      <c r="K15" s="55">
        <f>B15*('1_Cost_Job'!$B$31*G15*(1+E15)+'7_Assumptions'!$B$14+'7_Assumptions'!$B$16*'7_Assumptions'!$B$17/1000000+D15*'7_Assumptions'!$B$29/60*'7_Assumptions'!$B$11)+H15+F15</f>
        <v>71.130080000000007</v>
      </c>
      <c r="L15" s="55">
        <f t="shared" si="1"/>
        <v>0.88912600000000008</v>
      </c>
      <c r="M15" s="54" t="s">
        <v>627</v>
      </c>
      <c r="N15" s="54" t="s">
        <v>627</v>
      </c>
      <c r="O15" s="55">
        <f t="shared" si="3"/>
        <v>0</v>
      </c>
      <c r="P15" s="55">
        <f t="shared" si="4"/>
        <v>0</v>
      </c>
    </row>
    <row r="16" spans="1:16" ht="44.1" customHeight="1" x14ac:dyDescent="0.25">
      <c r="A16" s="16" t="s">
        <v>628</v>
      </c>
      <c r="B16" s="16">
        <v>1000</v>
      </c>
      <c r="C16" s="54">
        <v>0.8</v>
      </c>
      <c r="D16" s="54">
        <v>0.05</v>
      </c>
      <c r="E16" s="54">
        <v>0.08</v>
      </c>
      <c r="F16" s="16">
        <v>10</v>
      </c>
      <c r="G16" s="16">
        <v>1</v>
      </c>
      <c r="H16" s="16">
        <v>30</v>
      </c>
      <c r="I16" s="55">
        <f t="shared" si="0"/>
        <v>800</v>
      </c>
      <c r="J16" s="55">
        <f>'7_Assumptions'!$B$7+'7_Assumptions'!$B$8*I16</f>
        <v>220</v>
      </c>
      <c r="K16" s="55">
        <f>B16*('1_Cost_Job'!$B$31*G16*(1+E16)+'7_Assumptions'!$B$14+'7_Assumptions'!$B$16*'7_Assumptions'!$B$17/1000000+D16*'7_Assumptions'!$B$29/60*'7_Assumptions'!$B$11)+H16+F16</f>
        <v>66.30080000000001</v>
      </c>
      <c r="L16" s="55">
        <f t="shared" si="1"/>
        <v>8.2876000000000005E-2</v>
      </c>
      <c r="M16" s="41">
        <f>1-K16/J16</f>
        <v>0.69863272727272729</v>
      </c>
      <c r="N16" s="41">
        <f>1-(K16+'7_Assumptions'!$B$23)/J16</f>
        <v>0.51681454545454542</v>
      </c>
      <c r="O16" s="55">
        <f t="shared" si="3"/>
        <v>0.27500000000000002</v>
      </c>
      <c r="P16" s="55">
        <f t="shared" si="4"/>
        <v>3.318210338336792</v>
      </c>
    </row>
    <row r="18" spans="1:16" ht="48" customHeight="1" x14ac:dyDescent="0.25">
      <c r="A18" s="16" t="s">
        <v>629</v>
      </c>
      <c r="B18" s="16" t="s">
        <v>630</v>
      </c>
      <c r="C18" s="56" t="s">
        <v>631</v>
      </c>
      <c r="D18" s="57"/>
      <c r="E18" s="57"/>
      <c r="F18" s="57"/>
      <c r="G18" s="57"/>
      <c r="H18" s="57"/>
      <c r="I18" s="57"/>
      <c r="J18" s="57"/>
      <c r="K18" s="57"/>
      <c r="L18" s="57"/>
      <c r="M18" s="57"/>
      <c r="N18" s="57"/>
      <c r="O18" s="57"/>
      <c r="P18" s="57"/>
    </row>
    <row r="19" spans="1:16" ht="48" customHeight="1" x14ac:dyDescent="0.25">
      <c r="A19" s="16" t="s">
        <v>632</v>
      </c>
      <c r="B19" s="41">
        <f>'2_Pricing'!B33</f>
        <v>0.43834666666666661</v>
      </c>
      <c r="C19" s="56" t="s">
        <v>633</v>
      </c>
      <c r="D19" s="57"/>
      <c r="E19" s="57"/>
      <c r="F19" s="57"/>
      <c r="G19" s="57"/>
      <c r="H19" s="57"/>
      <c r="I19" s="57"/>
      <c r="J19" s="57"/>
      <c r="K19" s="57"/>
      <c r="L19" s="57"/>
      <c r="M19" s="57"/>
      <c r="N19" s="57"/>
      <c r="O19" s="57"/>
      <c r="P19" s="57"/>
    </row>
    <row r="20" spans="1:16" ht="48" customHeight="1" x14ac:dyDescent="0.25">
      <c r="A20" s="16" t="s">
        <v>634</v>
      </c>
      <c r="B20" s="41">
        <f>'2_Pricing'!B64</f>
        <v>0.21734399999999993</v>
      </c>
      <c r="C20" s="56" t="s">
        <v>635</v>
      </c>
      <c r="D20" s="57"/>
      <c r="E20" s="57"/>
      <c r="F20" s="57"/>
      <c r="G20" s="57"/>
      <c r="H20" s="57"/>
      <c r="I20" s="57"/>
      <c r="J20" s="57"/>
      <c r="K20" s="57"/>
      <c r="L20" s="57"/>
      <c r="M20" s="57"/>
      <c r="N20" s="57"/>
      <c r="O20" s="57"/>
      <c r="P20" s="57"/>
    </row>
    <row r="21" spans="1:16" ht="48" customHeight="1" x14ac:dyDescent="0.25">
      <c r="A21" s="16" t="s">
        <v>636</v>
      </c>
      <c r="B21" s="41">
        <f>'2_Pricing'!B65</f>
        <v>4.2005333333333304E-2</v>
      </c>
      <c r="C21" s="56" t="s">
        <v>637</v>
      </c>
      <c r="D21" s="57"/>
      <c r="E21" s="57"/>
      <c r="F21" s="57"/>
      <c r="G21" s="57"/>
      <c r="H21" s="57"/>
      <c r="I21" s="57"/>
      <c r="J21" s="57"/>
      <c r="K21" s="57"/>
      <c r="L21" s="57"/>
      <c r="M21" s="57"/>
      <c r="N21" s="57"/>
      <c r="O21" s="57"/>
      <c r="P21" s="57"/>
    </row>
    <row r="22" spans="1:16" ht="48" customHeight="1" x14ac:dyDescent="0.25">
      <c r="A22" s="16" t="s">
        <v>638</v>
      </c>
      <c r="B22" s="41">
        <f>(0.4*'2_Pricing'!B58-('1_Cost_Job'!B62+'1_Cost_Job'!B57))/('1_Cost_Job'!B9*'1_Cost_Job'!B52/60*'1_Cost_Job'!B50)</f>
        <v>0.12233066666666671</v>
      </c>
      <c r="C22" s="56" t="s">
        <v>639</v>
      </c>
      <c r="D22" s="57"/>
      <c r="E22" s="57"/>
      <c r="F22" s="57"/>
      <c r="G22" s="57"/>
      <c r="H22" s="57"/>
      <c r="I22" s="57"/>
      <c r="J22" s="57"/>
      <c r="K22" s="57"/>
      <c r="L22" s="57"/>
      <c r="M22" s="57"/>
      <c r="N22" s="57"/>
      <c r="O22" s="57"/>
      <c r="P22" s="57"/>
    </row>
    <row r="23" spans="1:16" ht="48" customHeight="1" x14ac:dyDescent="0.25">
      <c r="A23" s="16" t="s">
        <v>640</v>
      </c>
      <c r="B23" s="41">
        <f>(0.5*'2_Pricing'!B58-('1_Cost_Job'!B62+'1_Cost_Job'!B57))/('1_Cost_Job'!B9*'1_Cost_Job'!B52/60*'1_Cost_Job'!B50)</f>
        <v>0.19566400000000003</v>
      </c>
      <c r="C23" s="56" t="s">
        <v>641</v>
      </c>
      <c r="D23" s="57"/>
      <c r="E23" s="57"/>
      <c r="F23" s="57"/>
      <c r="G23" s="57"/>
      <c r="H23" s="57"/>
      <c r="I23" s="57"/>
      <c r="J23" s="57"/>
      <c r="K23" s="57"/>
      <c r="L23" s="57"/>
      <c r="M23" s="57"/>
      <c r="N23" s="57"/>
      <c r="O23" s="57"/>
      <c r="P23" s="57"/>
    </row>
    <row r="24" spans="1:16" ht="48" customHeight="1" x14ac:dyDescent="0.25">
      <c r="A24" s="16" t="s">
        <v>642</v>
      </c>
      <c r="B24" s="30">
        <f>'2_Pricing'!B58/('7_Assumptions'!B64*'1_Cost_Job'!B11*'7_Assumptions'!B11/60)</f>
        <v>11</v>
      </c>
      <c r="C24" s="56" t="s">
        <v>643</v>
      </c>
      <c r="D24" s="57"/>
      <c r="E24" s="57"/>
      <c r="F24" s="57"/>
      <c r="G24" s="57"/>
      <c r="H24" s="57"/>
      <c r="I24" s="57"/>
      <c r="J24" s="57"/>
      <c r="K24" s="57"/>
      <c r="L24" s="57"/>
      <c r="M24" s="57"/>
      <c r="N24" s="57"/>
      <c r="O24" s="57"/>
      <c r="P24" s="57"/>
    </row>
    <row r="25" spans="1:16" ht="48" customHeight="1" x14ac:dyDescent="0.25">
      <c r="A25" s="16" t="s">
        <v>644</v>
      </c>
      <c r="B25" s="30">
        <f>'1_Cost_Job'!B11*6/60*'7_Assumptions'!B11</f>
        <v>480</v>
      </c>
      <c r="C25" s="56" t="s">
        <v>645</v>
      </c>
      <c r="D25" s="57"/>
      <c r="E25" s="57"/>
      <c r="F25" s="57"/>
      <c r="G25" s="57"/>
      <c r="H25" s="57"/>
      <c r="I25" s="57"/>
      <c r="J25" s="57"/>
      <c r="K25" s="57"/>
      <c r="L25" s="57"/>
      <c r="M25" s="57"/>
      <c r="N25" s="57"/>
      <c r="O25" s="57"/>
      <c r="P25" s="57"/>
    </row>
    <row r="26" spans="1:16" ht="48" customHeight="1" x14ac:dyDescent="0.25">
      <c r="A26" s="16" t="s">
        <v>646</v>
      </c>
      <c r="B26" s="30">
        <f>B25*0.25</f>
        <v>120</v>
      </c>
      <c r="C26" s="56" t="s">
        <v>647</v>
      </c>
      <c r="D26" s="57"/>
      <c r="E26" s="57"/>
      <c r="F26" s="57"/>
      <c r="G26" s="57"/>
      <c r="H26" s="57"/>
      <c r="I26" s="57"/>
      <c r="J26" s="57"/>
      <c r="K26" s="57"/>
      <c r="L26" s="57"/>
      <c r="M26" s="57"/>
      <c r="N26" s="57"/>
      <c r="O26" s="57"/>
      <c r="P26" s="57"/>
    </row>
    <row r="27" spans="1:16" ht="48" customHeight="1" x14ac:dyDescent="0.25">
      <c r="A27" s="16" t="s">
        <v>648</v>
      </c>
      <c r="B27" s="16" t="s">
        <v>649</v>
      </c>
      <c r="C27" s="56" t="s">
        <v>650</v>
      </c>
      <c r="D27" s="57"/>
      <c r="E27" s="57"/>
      <c r="F27" s="57"/>
      <c r="G27" s="57"/>
      <c r="H27" s="57"/>
      <c r="I27" s="57"/>
      <c r="J27" s="57"/>
      <c r="K27" s="57"/>
      <c r="L27" s="57"/>
      <c r="M27" s="57"/>
      <c r="N27" s="57"/>
      <c r="O27" s="57"/>
      <c r="P27" s="57"/>
    </row>
    <row r="28" spans="1:16" ht="48" customHeight="1" x14ac:dyDescent="0.25">
      <c r="A28" s="16" t="s">
        <v>651</v>
      </c>
      <c r="B28" s="16" t="s">
        <v>652</v>
      </c>
      <c r="C28" s="56" t="s">
        <v>653</v>
      </c>
      <c r="D28" s="57"/>
      <c r="E28" s="57"/>
      <c r="F28" s="57"/>
      <c r="G28" s="57"/>
      <c r="H28" s="57"/>
      <c r="I28" s="57"/>
      <c r="J28" s="57"/>
      <c r="K28" s="57"/>
      <c r="L28" s="57"/>
      <c r="M28" s="57"/>
      <c r="N28" s="57"/>
      <c r="O28" s="57"/>
      <c r="P28" s="57"/>
    </row>
  </sheetData>
  <autoFilter ref="A4:P16" xr:uid="{00000000-0009-0000-0000-000008000000}"/>
  <mergeCells count="13">
    <mergeCell ref="C27:P27"/>
    <mergeCell ref="C19:P19"/>
    <mergeCell ref="C28:P28"/>
    <mergeCell ref="C23:P23"/>
    <mergeCell ref="C22:P22"/>
    <mergeCell ref="C18:P18"/>
    <mergeCell ref="C26:P26"/>
    <mergeCell ref="C21:P21"/>
    <mergeCell ref="A1:P1"/>
    <mergeCell ref="C20:P20"/>
    <mergeCell ref="C24:P24"/>
    <mergeCell ref="C25:P25"/>
    <mergeCell ref="A2:P2"/>
  </mergeCells>
  <printOptions horizontalCentered="1"/>
  <pageMargins left="0.75" right="0.75" top="1" bottom="1" header="0.5" footer="0.5"/>
  <pageSetup paperSize="9" fitToHeight="0" orientation="landscape"/>
  <headerFooter>
    <oddFooter>&amp;CCampus 24/7 · Day22 · Giả định / chưa pilot&amp;RTrang &amp;P / &amp;N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1:C43"/>
  <sheetViews>
    <sheetView showGridLines="0" workbookViewId="0">
      <pane xSplit="1" ySplit="3" topLeftCell="B4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40" customWidth="1"/>
    <col min="2" max="2" width="35" customWidth="1"/>
    <col min="3" max="3" width="90" customWidth="1"/>
  </cols>
  <sheetData>
    <row r="1" spans="1:3" ht="42.95" customHeight="1" x14ac:dyDescent="0.25">
      <c r="A1" s="50" t="s">
        <v>654</v>
      </c>
      <c r="B1" s="51"/>
      <c r="C1" s="51"/>
    </row>
    <row r="2" spans="1:3" ht="30.95" customHeight="1" x14ac:dyDescent="0.25">
      <c r="A2" s="16" t="s">
        <v>655</v>
      </c>
      <c r="B2" s="16" t="s">
        <v>656</v>
      </c>
      <c r="C2" s="16" t="s">
        <v>657</v>
      </c>
    </row>
    <row r="3" spans="1:3" ht="30.95" customHeight="1" x14ac:dyDescent="0.25">
      <c r="A3" s="16" t="s">
        <v>195</v>
      </c>
      <c r="B3" s="30">
        <f>'1_Cost_Job'!B66</f>
        <v>8.2875999999999977E-2</v>
      </c>
      <c r="C3" s="16" t="s">
        <v>658</v>
      </c>
    </row>
    <row r="4" spans="1:3" ht="30.95" customHeight="1" x14ac:dyDescent="0.25">
      <c r="A4" s="16" t="s">
        <v>659</v>
      </c>
      <c r="B4" s="30">
        <f>'2_Pricing'!B7</f>
        <v>0.24862799999999993</v>
      </c>
      <c r="C4" s="16" t="s">
        <v>660</v>
      </c>
    </row>
    <row r="5" spans="1:3" ht="30.95" customHeight="1" x14ac:dyDescent="0.25">
      <c r="A5" s="16" t="s">
        <v>614</v>
      </c>
      <c r="B5" s="30">
        <f>'2_Pricing'!B19</f>
        <v>0.27500000000000002</v>
      </c>
      <c r="C5" s="16" t="s">
        <v>661</v>
      </c>
    </row>
    <row r="6" spans="1:3" ht="30.95" customHeight="1" x14ac:dyDescent="0.25">
      <c r="A6" s="16" t="s">
        <v>612</v>
      </c>
      <c r="B6" s="41">
        <f>'2_Pricing'!B21</f>
        <v>0.69863272727272741</v>
      </c>
      <c r="C6" s="16" t="s">
        <v>662</v>
      </c>
    </row>
    <row r="7" spans="1:3" ht="30.95" customHeight="1" x14ac:dyDescent="0.25">
      <c r="A7" s="16" t="s">
        <v>663</v>
      </c>
      <c r="B7" s="41">
        <f>'2_Pricing'!B33</f>
        <v>0.43834666666666661</v>
      </c>
      <c r="C7" s="16" t="s">
        <v>664</v>
      </c>
    </row>
    <row r="8" spans="1:3" ht="30.95" customHeight="1" x14ac:dyDescent="0.25">
      <c r="A8" s="16" t="s">
        <v>665</v>
      </c>
      <c r="B8" s="41">
        <f>'1_Cost_Job'!B10</f>
        <v>0.8</v>
      </c>
      <c r="C8" s="16" t="s">
        <v>666</v>
      </c>
    </row>
    <row r="9" spans="1:3" ht="30.95" customHeight="1" x14ac:dyDescent="0.25">
      <c r="A9" s="16" t="s">
        <v>667</v>
      </c>
      <c r="B9" s="30">
        <f>'4_Channel_Fit'!B5</f>
        <v>220</v>
      </c>
      <c r="C9" s="16" t="s">
        <v>668</v>
      </c>
    </row>
    <row r="10" spans="1:3" ht="30.95" customHeight="1" x14ac:dyDescent="0.25">
      <c r="A10" s="16" t="s">
        <v>669</v>
      </c>
      <c r="B10" s="30">
        <f>'4_Channel_Fit'!B9</f>
        <v>1844.3904000000002</v>
      </c>
      <c r="C10" s="16" t="s">
        <v>670</v>
      </c>
    </row>
    <row r="11" spans="1:3" ht="30.95" customHeight="1" x14ac:dyDescent="0.25">
      <c r="A11" s="16" t="s">
        <v>671</v>
      </c>
      <c r="B11" s="30">
        <f>'4_Channel_Fit'!B16</f>
        <v>0.75757575757575757</v>
      </c>
      <c r="C11" s="16" t="s">
        <v>672</v>
      </c>
    </row>
    <row r="12" spans="1:3" ht="30.95" customHeight="1" x14ac:dyDescent="0.25">
      <c r="A12" s="16" t="s">
        <v>673</v>
      </c>
      <c r="B12" s="30">
        <f>'4_Channel_Fit'!B22</f>
        <v>480</v>
      </c>
      <c r="C12" s="16" t="s">
        <v>674</v>
      </c>
    </row>
    <row r="13" spans="1:3" ht="30.95" customHeight="1" x14ac:dyDescent="0.25">
      <c r="A13" s="16" t="s">
        <v>675</v>
      </c>
      <c r="B13" s="30">
        <f>'4_Channel_Fit'!B23</f>
        <v>0.26024858945264512</v>
      </c>
      <c r="C13" s="16" t="s">
        <v>676</v>
      </c>
    </row>
    <row r="14" spans="1:3" ht="30.95" customHeight="1" x14ac:dyDescent="0.25">
      <c r="A14" s="16" t="s">
        <v>677</v>
      </c>
      <c r="B14" s="30">
        <f>'4_Channel_Fit'!B46</f>
        <v>4080</v>
      </c>
      <c r="C14" s="16" t="s">
        <v>678</v>
      </c>
    </row>
    <row r="15" spans="1:3" ht="30.95" customHeight="1" x14ac:dyDescent="0.25">
      <c r="A15" s="16" t="s">
        <v>679</v>
      </c>
      <c r="B15" s="30">
        <f>'4_Channel_Fit'!B47</f>
        <v>2.2121130103474838</v>
      </c>
      <c r="C15" s="16" t="s">
        <v>680</v>
      </c>
    </row>
    <row r="16" spans="1:3" ht="30.95" customHeight="1" x14ac:dyDescent="0.25">
      <c r="A16" s="16" t="s">
        <v>613</v>
      </c>
      <c r="B16" s="41">
        <f>'2_Pricing'!B61</f>
        <v>0.51681454545454553</v>
      </c>
      <c r="C16" s="16" t="s">
        <v>681</v>
      </c>
    </row>
    <row r="17" spans="1:3" ht="30.95" customHeight="1" x14ac:dyDescent="0.25">
      <c r="A17" s="16" t="s">
        <v>682</v>
      </c>
      <c r="B17" s="30">
        <f>'7_Assumptions'!B22</f>
        <v>960</v>
      </c>
      <c r="C17" s="16" t="s">
        <v>683</v>
      </c>
    </row>
    <row r="18" spans="1:3" ht="30.95" customHeight="1" x14ac:dyDescent="0.25">
      <c r="A18" s="16" t="s">
        <v>684</v>
      </c>
      <c r="B18" s="41">
        <f>'8_Stress_Test'!B23</f>
        <v>0.19566400000000003</v>
      </c>
      <c r="C18" s="16" t="s">
        <v>685</v>
      </c>
    </row>
    <row r="19" spans="1:3" ht="30.95" customHeight="1" x14ac:dyDescent="0.25">
      <c r="A19" s="16" t="s">
        <v>686</v>
      </c>
      <c r="B19" s="16" t="s">
        <v>51</v>
      </c>
      <c r="C19" s="16" t="s">
        <v>687</v>
      </c>
    </row>
    <row r="20" spans="1:3" ht="30.95" customHeight="1" x14ac:dyDescent="0.25">
      <c r="A20" s="16" t="s">
        <v>688</v>
      </c>
      <c r="B20" s="30">
        <f>'7_Assumptions'!B7</f>
        <v>100</v>
      </c>
      <c r="C20" s="16" t="s">
        <v>689</v>
      </c>
    </row>
    <row r="21" spans="1:3" ht="30.95" customHeight="1" x14ac:dyDescent="0.25">
      <c r="A21" s="16" t="s">
        <v>690</v>
      </c>
      <c r="B21" s="30">
        <f>'7_Assumptions'!B8</f>
        <v>0.15</v>
      </c>
      <c r="C21" s="16" t="s">
        <v>691</v>
      </c>
    </row>
    <row r="22" spans="1:3" ht="30.95" customHeight="1" x14ac:dyDescent="0.25">
      <c r="A22" s="16" t="s">
        <v>692</v>
      </c>
      <c r="B22" s="30">
        <f>'1_Cost_Job'!B9</f>
        <v>1000</v>
      </c>
      <c r="C22" s="16" t="s">
        <v>693</v>
      </c>
    </row>
    <row r="23" spans="1:3" ht="30.95" customHeight="1" x14ac:dyDescent="0.25">
      <c r="A23" s="16" t="s">
        <v>608</v>
      </c>
      <c r="B23" s="30">
        <f>'1_Cost_Job'!B11</f>
        <v>800</v>
      </c>
      <c r="C23" s="16" t="s">
        <v>694</v>
      </c>
    </row>
    <row r="24" spans="1:3" ht="30.95" customHeight="1" x14ac:dyDescent="0.25">
      <c r="A24" s="16" t="s">
        <v>695</v>
      </c>
      <c r="B24" s="30">
        <f>'3_Value_Metric'!B10</f>
        <v>3</v>
      </c>
      <c r="C24" s="16" t="s">
        <v>696</v>
      </c>
    </row>
    <row r="25" spans="1:3" ht="30.95" customHeight="1" x14ac:dyDescent="0.25">
      <c r="A25" s="16" t="s">
        <v>697</v>
      </c>
      <c r="B25" s="30">
        <f>'3_Value_Metric'!B18</f>
        <v>2</v>
      </c>
      <c r="C25" s="16" t="s">
        <v>698</v>
      </c>
    </row>
    <row r="26" spans="1:3" ht="30.95" customHeight="1" x14ac:dyDescent="0.25">
      <c r="A26" s="16" t="s">
        <v>699</v>
      </c>
      <c r="B26" s="16">
        <v>29</v>
      </c>
      <c r="C26" s="16" t="s">
        <v>700</v>
      </c>
    </row>
    <row r="27" spans="1:3" ht="30.95" customHeight="1" x14ac:dyDescent="0.25">
      <c r="A27" s="16" t="s">
        <v>701</v>
      </c>
      <c r="B27" s="16">
        <v>50</v>
      </c>
      <c r="C27" s="16" t="s">
        <v>702</v>
      </c>
    </row>
    <row r="28" spans="1:3" ht="30.95" customHeight="1" x14ac:dyDescent="0.25">
      <c r="A28" s="16" t="s">
        <v>703</v>
      </c>
      <c r="B28" s="30">
        <f>'7_Assumptions'!B21</f>
        <v>12</v>
      </c>
      <c r="C28" s="16" t="s">
        <v>704</v>
      </c>
    </row>
    <row r="29" spans="1:3" ht="30.95" customHeight="1" x14ac:dyDescent="0.25">
      <c r="A29" s="16" t="s">
        <v>705</v>
      </c>
      <c r="B29" s="30">
        <f>'7_Assumptions'!B51</f>
        <v>100</v>
      </c>
      <c r="C29" s="16" t="s">
        <v>706</v>
      </c>
    </row>
    <row r="30" spans="1:3" ht="30.95" customHeight="1" x14ac:dyDescent="0.25">
      <c r="A30" s="16" t="s">
        <v>707</v>
      </c>
      <c r="B30" s="30">
        <f>'7_Assumptions'!B52</f>
        <v>3</v>
      </c>
      <c r="C30" s="16" t="s">
        <v>708</v>
      </c>
    </row>
    <row r="31" spans="1:3" ht="30.95" customHeight="1" x14ac:dyDescent="0.25">
      <c r="A31" s="16" t="s">
        <v>709</v>
      </c>
      <c r="B31" s="30" t="str">
        <f>'7_Assumptions'!B53</f>
        <v>22/10/2026</v>
      </c>
      <c r="C31" s="16" t="s">
        <v>710</v>
      </c>
    </row>
    <row r="32" spans="1:3" ht="30.95" customHeight="1" x14ac:dyDescent="0.25">
      <c r="A32" s="16" t="s">
        <v>711</v>
      </c>
      <c r="B32" s="30" t="str">
        <f>'7_Assumptions'!B54</f>
        <v>29/10/2026</v>
      </c>
      <c r="C32" s="16" t="s">
        <v>712</v>
      </c>
    </row>
    <row r="33" spans="1:3" ht="30.95" customHeight="1" x14ac:dyDescent="0.25">
      <c r="A33" s="16" t="s">
        <v>713</v>
      </c>
      <c r="B33" s="30" t="str">
        <f>'7_Assumptions'!B55</f>
        <v>06/12/2026</v>
      </c>
      <c r="C33" s="16" t="s">
        <v>714</v>
      </c>
    </row>
    <row r="34" spans="1:3" ht="30.95" customHeight="1" x14ac:dyDescent="0.25">
      <c r="A34" s="16" t="s">
        <v>715</v>
      </c>
      <c r="B34" s="30" t="str">
        <f>'7_Assumptions'!B56</f>
        <v>06/01/2027</v>
      </c>
      <c r="C34" s="16" t="s">
        <v>716</v>
      </c>
    </row>
    <row r="35" spans="1:3" ht="30.95" customHeight="1" x14ac:dyDescent="0.25">
      <c r="A35" s="16" t="s">
        <v>717</v>
      </c>
      <c r="B35" s="30">
        <f>'7_Assumptions'!B59</f>
        <v>2</v>
      </c>
      <c r="C35" s="16" t="s">
        <v>718</v>
      </c>
    </row>
    <row r="36" spans="1:3" ht="30.95" customHeight="1" x14ac:dyDescent="0.25">
      <c r="A36" s="16" t="s">
        <v>719</v>
      </c>
      <c r="B36" s="30" t="str">
        <f>'7_Assumptions'!B44</f>
        <v>08:30 sáng ngày làm việc</v>
      </c>
      <c r="C36" s="16" t="s">
        <v>720</v>
      </c>
    </row>
    <row r="37" spans="1:3" ht="30.95" customHeight="1" x14ac:dyDescent="0.25">
      <c r="A37" s="16" t="s">
        <v>721</v>
      </c>
      <c r="B37" s="30">
        <f>'7_Assumptions'!B58</f>
        <v>3</v>
      </c>
      <c r="C37" s="16" t="s">
        <v>722</v>
      </c>
    </row>
    <row r="38" spans="1:3" ht="30.95" customHeight="1" x14ac:dyDescent="0.25">
      <c r="A38" s="16" t="s">
        <v>723</v>
      </c>
      <c r="B38" s="16" t="s">
        <v>724</v>
      </c>
      <c r="C38" s="16" t="s">
        <v>725</v>
      </c>
    </row>
    <row r="39" spans="1:3" ht="30.95" customHeight="1" x14ac:dyDescent="0.25">
      <c r="A39" s="16" t="s">
        <v>726</v>
      </c>
      <c r="B39" s="16" t="s">
        <v>727</v>
      </c>
      <c r="C39" s="16" t="s">
        <v>728</v>
      </c>
    </row>
    <row r="40" spans="1:3" ht="30.95" customHeight="1" x14ac:dyDescent="0.25">
      <c r="A40" s="16" t="s">
        <v>729</v>
      </c>
      <c r="B40" s="41">
        <f>'7_Assumptions'!B28</f>
        <v>0.05</v>
      </c>
      <c r="C40" s="16" t="s">
        <v>730</v>
      </c>
    </row>
    <row r="41" spans="1:3" ht="30.95" customHeight="1" x14ac:dyDescent="0.25">
      <c r="A41" s="16" t="s">
        <v>731</v>
      </c>
      <c r="B41" s="54">
        <v>1</v>
      </c>
      <c r="C41" s="16" t="s">
        <v>732</v>
      </c>
    </row>
    <row r="42" spans="1:3" ht="30.95" customHeight="1" x14ac:dyDescent="0.25">
      <c r="A42" s="16" t="s">
        <v>733</v>
      </c>
      <c r="B42" s="30">
        <f>'4_Channel_Fit'!B49</f>
        <v>3.1229830734317416</v>
      </c>
      <c r="C42" s="16" t="s">
        <v>734</v>
      </c>
    </row>
    <row r="43" spans="1:3" ht="30.95" customHeight="1" x14ac:dyDescent="0.25">
      <c r="A43" s="16" t="s">
        <v>735</v>
      </c>
      <c r="B43" s="16">
        <v>0</v>
      </c>
      <c r="C43" s="16" t="s">
        <v>736</v>
      </c>
    </row>
  </sheetData>
  <printOptions horizontalCentered="1"/>
  <pageMargins left="0.75" right="0.75" top="1" bottom="1" header="0.5" footer="0.5"/>
  <pageSetup paperSize="9" fitToHeight="0" orientation="landscape"/>
  <headerFooter>
    <oddFooter>&amp;CCampus 24/7 · Day22 · Giả định / chưa pilot&amp;RTrang &amp;P /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Trang tính</vt:lpstr>
      </vt:variant>
      <vt:variant>
        <vt:i4>10</vt:i4>
      </vt:variant>
      <vt:variant>
        <vt:lpstr>Phạm vi Có tên</vt:lpstr>
      </vt:variant>
      <vt:variant>
        <vt:i4>20</vt:i4>
      </vt:variant>
    </vt:vector>
  </HeadingPairs>
  <TitlesOfParts>
    <vt:vector size="30" baseType="lpstr">
      <vt:lpstr>0_README</vt:lpstr>
      <vt:lpstr>1_Cost_Job</vt:lpstr>
      <vt:lpstr>2_Pricing</vt:lpstr>
      <vt:lpstr>3_Value_Metric</vt:lpstr>
      <vt:lpstr>4_Channel_Fit</vt:lpstr>
      <vt:lpstr>5_90Day_Plan</vt:lpstr>
      <vt:lpstr>6_Benchmarks</vt:lpstr>
      <vt:lpstr>7_Assumptions</vt:lpstr>
      <vt:lpstr>8_Stress_Test</vt:lpstr>
      <vt:lpstr>9_OnePager_Trace</vt:lpstr>
      <vt:lpstr>'0_README'!Print_Titles</vt:lpstr>
      <vt:lpstr>'1_Cost_Job'!Print_Titles</vt:lpstr>
      <vt:lpstr>'2_Pricing'!Print_Titles</vt:lpstr>
      <vt:lpstr>'3_Value_Metric'!Print_Titles</vt:lpstr>
      <vt:lpstr>'4_Channel_Fit'!Print_Titles</vt:lpstr>
      <vt:lpstr>'5_90Day_Plan'!Print_Titles</vt:lpstr>
      <vt:lpstr>'6_Benchmarks'!Print_Titles</vt:lpstr>
      <vt:lpstr>'7_Assumptions'!Print_Titles</vt:lpstr>
      <vt:lpstr>'8_Stress_Test'!Print_Titles</vt:lpstr>
      <vt:lpstr>'9_OnePager_Trace'!Print_Titles</vt:lpstr>
      <vt:lpstr>'0_README'!Vùng_In</vt:lpstr>
      <vt:lpstr>'1_Cost_Job'!Vùng_In</vt:lpstr>
      <vt:lpstr>'2_Pricing'!Vùng_In</vt:lpstr>
      <vt:lpstr>'3_Value_Metric'!Vùng_In</vt:lpstr>
      <vt:lpstr>'4_Channel_Fit'!Vùng_In</vt:lpstr>
      <vt:lpstr>'5_90Day_Plan'!Vùng_In</vt:lpstr>
      <vt:lpstr>'6_Benchmarks'!Vùng_In</vt:lpstr>
      <vt:lpstr>'7_Assumptions'!Vùng_In</vt:lpstr>
      <vt:lpstr>'8_Stress_Test'!Vùng_In</vt:lpstr>
      <vt:lpstr>'9_OnePager_Trace'!Vùng_In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DUNG HOANG</cp:lastModifiedBy>
  <dcterms:created xsi:type="dcterms:W3CDTF">2026-08-26T15:07:08Z</dcterms:created>
  <dcterms:modified xsi:type="dcterms:W3CDTF">2026-10-08T11:30:38Z</dcterms:modified>
</cp:coreProperties>
</file>